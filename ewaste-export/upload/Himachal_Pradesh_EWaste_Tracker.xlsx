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B714770A-D618-404C-B7E9-EFE2CF0342B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9" l="1"/>
  <c r="C29" i="9"/>
  <c r="C28" i="9"/>
  <c r="C30" i="8"/>
  <c r="C29" i="8"/>
  <c r="C28" i="8"/>
  <c r="C31" i="7"/>
  <c r="C30" i="7"/>
  <c r="C29" i="7"/>
  <c r="C28" i="7"/>
  <c r="C33" i="6"/>
  <c r="C32" i="6"/>
  <c r="C31" i="6"/>
  <c r="C30" i="6"/>
  <c r="C29" i="6"/>
  <c r="C28" i="6"/>
  <c r="F28" i="5"/>
  <c r="E28" i="5"/>
  <c r="D28" i="5"/>
  <c r="G27" i="4"/>
  <c r="F27" i="4"/>
  <c r="E27" i="4"/>
  <c r="D27" i="4"/>
  <c r="J6" i="3"/>
  <c r="C6" i="4"/>
  <c r="J7" i="3"/>
  <c r="C7" i="4"/>
  <c r="J8" i="3"/>
  <c r="C8" i="4"/>
  <c r="J9" i="3"/>
  <c r="C9" i="4"/>
  <c r="C25" i="4"/>
  <c r="C24" i="4"/>
  <c r="C23" i="4"/>
  <c r="C22" i="4"/>
  <c r="C21" i="4"/>
  <c r="C20" i="4"/>
  <c r="C19" i="4"/>
  <c r="C18" i="4"/>
  <c r="J17" i="3"/>
  <c r="C17" i="4"/>
  <c r="J16" i="3"/>
  <c r="C16" i="4"/>
  <c r="J15" i="3"/>
  <c r="C15" i="4"/>
  <c r="J14" i="3"/>
  <c r="C14" i="4"/>
  <c r="J13" i="3"/>
  <c r="C13" i="4"/>
  <c r="J12" i="3"/>
  <c r="C12" i="4"/>
  <c r="J11" i="3"/>
  <c r="C11" i="4"/>
  <c r="J10" i="3"/>
  <c r="C10" i="4"/>
  <c r="C27" i="4"/>
  <c r="J18" i="3"/>
  <c r="J19" i="3"/>
  <c r="J20" i="3"/>
  <c r="J21" i="3"/>
  <c r="J25" i="3"/>
  <c r="J24" i="3"/>
  <c r="J23" i="3"/>
  <c r="J22" i="3"/>
  <c r="J27" i="3"/>
  <c r="I27" i="3"/>
  <c r="H27" i="3"/>
  <c r="G27" i="3"/>
  <c r="F27" i="3"/>
  <c r="E27" i="3"/>
  <c r="D27" i="3"/>
  <c r="C27" i="3"/>
  <c r="F10" i="1"/>
  <c r="G10" i="1"/>
  <c r="H10" i="1"/>
  <c r="F11" i="1"/>
  <c r="G11" i="1"/>
  <c r="H11" i="1"/>
  <c r="F12" i="1"/>
  <c r="G12" i="1"/>
  <c r="H12" i="1"/>
  <c r="F13" i="1"/>
  <c r="G13" i="1"/>
  <c r="H13" i="1"/>
  <c r="F16" i="1"/>
  <c r="G16" i="1"/>
  <c r="H16" i="1"/>
  <c r="F15" i="1"/>
  <c r="G15" i="1"/>
  <c r="H15" i="1"/>
  <c r="F14" i="1"/>
  <c r="G14" i="1"/>
  <c r="H14" i="1"/>
  <c r="H17" i="1"/>
  <c r="D17" i="1"/>
  <c r="F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200-000001000000}">
      <text>
        <r>
          <rPr>
            <sz val="10"/>
            <rFont val="Arial"/>
            <family val="2"/>
          </rPr>
          <t>Population figures are 2025-projected approximations for Himachal Pradesh's 12 districts. District-level e-waste generation is not separately published by CPCB/HPPCB, so the category-wise kg figures here are illustrative estimates built from the state-wide CPCB collection benchmark (~165-200 MT/yr) and known concentration of electronics/industrial activity in the Baddi-Barotiwala-Nalagarh (BBN) corridor in Solan district. Replace with actual survey/inventory data when available.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300-000001000000}">
      <text>
        <r>
          <rPr>
            <sz val="10"/>
            <rFont val="Arial"/>
            <family val="2"/>
          </rPr>
          <t>Collected (kg) figures are calibrated so the state total falls within the ~165,000-200,000 kg (165-200 MT) range recently reported for Himachal Pradesh by CPCB. Individual district splits are estimated, not sourced from a published district-wise CPCB table.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400-000001000000}">
      <text>
        <r>
          <rPr>
            <sz val="10"/>
            <rFont val="Arial"/>
            <family val="2"/>
          </rPr>
          <t>Shivalik Solid Waste Management (Unit-II), Nalagarh and Ortech India Corporations, Baddi are confirmed on published CPCB/HPPCB authorized recycler/dismantler lists (Solan district). Installed-capacity figures here follow the brief supplied; CPCB's 2019/2023 published lists show lower historical capacities (~1000-1500 MT/yr) for Shivalik, so treat capacity as approximate/updated rather than independently verified. Authorization numbers, 'Quantity Processed' and 'Authorization Valid Till' dates are illustrative placeholders -- replace with the units' actual HPPCB consent order details.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500-000001000000}">
      <text>
        <r>
          <rPr>
            <sz val="10"/>
            <rFont val="Arial"/>
            <family val="2"/>
          </rPr>
          <t>Entity names are representative/illustrative EPR producers, not a verified extract from a public HP EPR registration database -- no such district-wise public list was available to source real registration numbers from.</t>
        </r>
      </text>
    </comment>
  </commentList>
</comments>
</file>

<file path=xl/sharedStrings.xml><?xml version="1.0" encoding="utf-8"?>
<sst xmlns="http://schemas.openxmlformats.org/spreadsheetml/2006/main" count="317" uniqueCount="233">
  <si>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</si>
  <si>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</si>
  <si>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</si>
  <si>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</si>
  <si>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</si>
  <si>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</si>
  <si>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</si>
  <si>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</si>
  <si>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</si>
  <si>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</si>
  <si>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</si>
  <si>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</si>
  <si>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</si>
  <si>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</si>
  <si>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</si>
  <si>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</si>
  <si>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</si>
  <si>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</si>
  <si>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</si>
  <si>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</si>
  <si>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</si>
  <si>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</si>
  <si>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</si>
  <si>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</si>
  <si>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</si>
  <si>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</si>
  <si>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</si>
  <si>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</si>
  <si>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</si>
  <si>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</si>
  <si>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</si>
  <si>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</si>
  <si>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</si>
  <si>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</si>
  <si>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</si>
  <si>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</si>
  <si>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</si>
  <si>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</si>
  <si>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</si>
  <si>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</si>
  <si>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</si>
  <si>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</si>
  <si>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</si>
  <si>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</si>
  <si>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</si>
  <si>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</si>
  <si>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</si>
  <si>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</si>
  <si>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</si>
  <si>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</si>
  <si>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</si>
  <si>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</si>
  <si>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</si>
  <si>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</si>
  <si>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</si>
  <si>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</si>
  <si>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Bilaspur</t>
  </si>
  <si>
    <t>15-12-2025</t>
  </si>
  <si>
    <t>Chamba</t>
  </si>
  <si>
    <t>18-12-2025</t>
  </si>
  <si>
    <t>Hamirpur</t>
  </si>
  <si>
    <t>20-12-2025</t>
  </si>
  <si>
    <t>Kangra</t>
  </si>
  <si>
    <t>05-01-2026</t>
  </si>
  <si>
    <t>Kinnaur</t>
  </si>
  <si>
    <t>22-12-2025</t>
  </si>
  <si>
    <t>Kullu</t>
  </si>
  <si>
    <t>08-01-2026</t>
  </si>
  <si>
    <t>Lahaul &amp; Spiti</t>
  </si>
  <si>
    <t>Mandi</t>
  </si>
  <si>
    <t>10-01-2026</t>
  </si>
  <si>
    <t>Shimla</t>
  </si>
  <si>
    <t>15-01-2026</t>
  </si>
  <si>
    <t>Sirmaur</t>
  </si>
  <si>
    <t>12-01-2026</t>
  </si>
  <si>
    <t>Solan</t>
  </si>
  <si>
    <t>Una</t>
  </si>
  <si>
    <t>STATE TOTAL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</si>
  <si>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</si>
  <si>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</si>
  <si>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</si>
  <si>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</si>
  <si>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</si>
  <si>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</si>
  <si>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</si>
  <si>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</si>
  <si>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Collection routed through district-level authorized centers</t>
  </si>
  <si>
    <t>Hilly terrain limits center density; seasonal collection drives used</t>
  </si>
  <si>
    <t>Stable collection network; good EPR tie-up with local retailers</t>
  </si>
  <si>
    <t>Largest population base; multiple urban collection points (Dharamshala, Palampur)</t>
  </si>
  <si>
    <t>High-altitude access constraints; collection limited to district HQ</t>
  </si>
  <si>
    <t>Tourist-season peaks add electronics/battery volume from hospitality sector</t>
  </si>
  <si>
    <t>Extremely low population and seasonal road closure limit collection</t>
  </si>
  <si>
    <t>Growing urban collection infrastructure around Mandi town</t>
  </si>
  <si>
    <t>State capital; highest institutional and RWA collection volumes</t>
  </si>
  <si>
    <t>Collection supported by Kala Amb/Paonta Sahib industrial units</t>
  </si>
  <si>
    <t>Baddi-Barotiwala-Nalagarh (BBN) industrial corridor drives the state's highest collection volume</t>
  </si>
  <si>
    <t>Industrial belt collection tied to nearby EPR-registered producers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</si>
  <si>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</si>
  <si>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</si>
  <si>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</si>
  <si>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</si>
  <si>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</si>
  <si>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</si>
  <si>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</si>
  <si>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</si>
  <si>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M/s Shivalik Solid Waste Management (Unit-II)</t>
  </si>
  <si>
    <t>HPPCB/EWM/AUTH/2022-11</t>
  </si>
  <si>
    <t>31-03-2027</t>
  </si>
  <si>
    <t>M/s Ortech India Corporations</t>
  </si>
  <si>
    <t>HPPCB/EWM/AUTH/2019-04</t>
  </si>
  <si>
    <t>31-03-2026</t>
  </si>
  <si>
    <t>M/s Eco Works Management Pvt. Ltd.</t>
  </si>
  <si>
    <t>HPPCB/EWM/AUTH/2021-07</t>
  </si>
  <si>
    <t>M/s Sahni Enterprise</t>
  </si>
  <si>
    <t>HPPCB/EWM/AUTH/2020-09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</si>
  <si>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</si>
  <si>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</si>
  <si>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</si>
  <si>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</si>
  <si>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</si>
  <si>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</si>
  <si>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</si>
  <si>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</si>
  <si>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</si>
  <si>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Konnect Electronics Distributors Pvt. Ltd.</t>
  </si>
  <si>
    <t>EPR/2024/HP/00112</t>
  </si>
  <si>
    <t>Compliant</t>
  </si>
  <si>
    <t>Yes</t>
  </si>
  <si>
    <t>No</t>
  </si>
  <si>
    <t>N/A</t>
  </si>
  <si>
    <t>EPR target met (108%); operates via Baddi warehouse hub</t>
  </si>
  <si>
    <t>Himgiri Appliances &amp; Electricals Ltd.</t>
  </si>
  <si>
    <t>EPR/2023/HP/00089</t>
  </si>
  <si>
    <t>Annual EPR target achieved through tie-up with 6 collection centers</t>
  </si>
  <si>
    <t>TransIndia Battery Producers Association</t>
  </si>
  <si>
    <t>EPR/2022/HP/00045</t>
  </si>
  <si>
    <t>Partially Compliant</t>
  </si>
  <si>
    <t>Show-cause issued for shortfall in battery take-back; corrective plan submitted</t>
  </si>
  <si>
    <t>Nalagarh Industrial Electronics Manufacturers Consortium</t>
  </si>
  <si>
    <t>EPR/2024/HP/00198</t>
  </si>
  <si>
    <t>Represents a cluster of Baddi-Nalagarh electronics units filing joint EPR compliance</t>
  </si>
  <si>
    <t>SolanTech Lighting Solutions Pvt. Ltd.</t>
  </si>
  <si>
    <t>EPR/2023/HP/00076</t>
  </si>
  <si>
    <t>Non-Compliant</t>
  </si>
  <si>
    <t>Inspection pending; penalty notice issued for incomplete EPR filing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</si>
  <si>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</si>
  <si>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</si>
  <si>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</si>
  <si>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</si>
  <si>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</si>
  <si>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</si>
  <si>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</si>
  <si>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</si>
  <si>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</si>
  <si>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</si>
  <si>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</si>
  <si>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</si>
  <si>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Baddi Industrial Area Scrap Market</t>
  </si>
  <si>
    <t>Partially Formalized</t>
  </si>
  <si>
    <t>Integrated 55 scrap collectors into the authorized network via tie-up with Shivalik Solid Waste Management</t>
  </si>
  <si>
    <t>High footfall due to the Baddi-Barotiwala-Nalagarh (BBN) industrial belt</t>
  </si>
  <si>
    <t>Nalagarh Informal Dismantling Cluster</t>
  </si>
  <si>
    <t>Under Formalization</t>
  </si>
  <si>
    <t>Skill training conducted with HPPCB; ID cards issued to 40 workers</t>
  </si>
  <si>
    <t>Located near industrial drains; flagged for effluent-runoff monitoring</t>
  </si>
  <si>
    <t>Parwanoo Scrap Yard Cluster</t>
  </si>
  <si>
    <t>Linked to Sahni Enterprise's authorized collection network</t>
  </si>
  <si>
    <t>Border cluster with Haryana; some cross-state scrap flow observed</t>
  </si>
  <si>
    <t>Shimla Sabzi Mandi Scrap Dealers Cluster</t>
  </si>
  <si>
    <t>Identified</t>
  </si>
  <si>
    <t>Baseline survey completed; formal registration drive planned for next quarter</t>
  </si>
  <si>
    <t>Urban informal cluster near the main vegetable market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</si>
  <si>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</si>
  <si>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</si>
  <si>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</si>
  <si>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</si>
  <si>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</si>
  <si>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</si>
  <si>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</si>
  <si>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</si>
  <si>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</si>
  <si>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</si>
  <si>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</si>
  <si>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</si>
  <si>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Nalagarh Industrial Area Drains</t>
  </si>
  <si>
    <t>Soil + Water</t>
  </si>
  <si>
    <t>15-11-2025</t>
  </si>
  <si>
    <t>Pb, Cd marginally above permissible limits</t>
  </si>
  <si>
    <t>Joint monitoring by HPPCB &amp; District Industries Dept.; remediation follow-up ordered</t>
  </si>
  <si>
    <t>Baddi Industrial Estate Effluent Channel</t>
  </si>
  <si>
    <t>Water</t>
  </si>
  <si>
    <t>20-01-2026</t>
  </si>
  <si>
    <t>Within permissible limits</t>
  </si>
  <si>
    <t>Routine quarterly check; no health camp required this cycle</t>
  </si>
  <si>
    <t>Soil</t>
  </si>
  <si>
    <t>05-12-2025</t>
  </si>
  <si>
    <t>Exceeds limit (Pb)</t>
  </si>
  <si>
    <t>Health screening conducted for informal workers; remediation plan under review</t>
  </si>
  <si>
    <t>Shimla Sabzi Mandi Scrap Cluster</t>
  </si>
  <si>
    <t>10-02-2026</t>
  </si>
  <si>
    <t>Preventive screening carried out alongside awareness drive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</si>
  <si>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</si>
  <si>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</si>
  <si>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</si>
  <si>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</si>
  <si>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</si>
  <si>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</si>
  <si>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</si>
  <si>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</si>
  <si>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</si>
  <si>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E-Waste Awareness &amp; Collection Drive - Shimla Govt. Schools</t>
  </si>
  <si>
    <t>05-09-2025</t>
  </si>
  <si>
    <t>School Collection Drive</t>
  </si>
  <si>
    <t>Students, Grades 6-10 (15 schools)</t>
  </si>
  <si>
    <t>Baddi-Nalagarh Industrial Cluster EPR Sensitization Workshop</t>
  </si>
  <si>
    <t>22-10-2025</t>
  </si>
  <si>
    <t>Industry Workshop</t>
  </si>
  <si>
    <t>EPR Producers &amp; Bulk Consumers</t>
  </si>
  <si>
    <t>Scrap Collector Integration Drive - Baddi</t>
  </si>
  <si>
    <t>18-11-2025</t>
  </si>
  <si>
    <t>Informal Sector Integration Drive</t>
  </si>
  <si>
    <t>Local scrap collectors &amp; dismantlers</t>
  </si>
  <si>
    <t>RWA Community E-Waste Collection Camp - Shimla</t>
  </si>
  <si>
    <t>RWA/Community Drive</t>
  </si>
  <si>
    <t>Residents' Welfare Associations</t>
  </si>
  <si>
    <t>Kullu-Manali Tourist Belt Clean-up &amp; Awareness Drive</t>
  </si>
  <si>
    <t>03-02-2026</t>
  </si>
  <si>
    <t>Public Awareness Campaign</t>
  </si>
  <si>
    <t>General Public &amp; Hoteliers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</si>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</sst>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0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/>
    <xf numFmtId="0" fontId="7" fillId="3" borderId="1" xfId="0" applyFont="1" applyFill="1" applyBorder="1" applyAlignment="1"/>
    <xf numFmtId="0" fontId="8" fillId="0" borderId="0" xfId="0" applyFont="1" applyAlignment="1"/>
    <xf numFmtId="0" fontId="9" fillId="0" borderId="0" xfId="0" applyFont="1" applyAlignment="1"/>
    <xf numFmtId="0" fontId="7" fillId="0" borderId="1" xfId="0" applyFont="1" applyBorder="1" applyAlignment="1"/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 /><Relationship Id="rId1" Type="http://schemas.openxmlformats.org/officeDocument/2006/relationships/vmlDrawing" Target="../drawings/vmlDrawing4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tabSelected="1" zoomScaleNormal="100" workbookViewId="0"/>
  </sheetViews>
  <sheetFormatPr defaultColWidth="8.7421875" defaultRowHeight="15" x14ac:dyDescent="0.2"/>
  <cols>
    <col min="1" max="1" width="2.95703125" style="9" customWidth="1"/>
    <col min="2" max="2" width="6.05078125" style="9" customWidth="1"/>
    <col min="3" max="3" width="29.99609375" style="9" customWidth="1"/>
    <col min="4" max="4" width="9.953125" style="9" customWidth="1"/>
    <col min="5" max="6" width="16.0078125" style="9" customWidth="1"/>
    <col min="7" max="7" width="13.98828125" style="9" customWidth="1"/>
    <col min="8" max="8" width="13.046875" style="9" customWidth="1"/>
    <col min="9" max="9" width="9.953125" style="9" customWidth="1"/>
  </cols>
  <sheetData>
    <row r="2" spans="1:9" ht="25.5" customHeight="1" x14ac:dyDescent="0.2">
      <c r="A2" s="8" t="s">
        <v>0</v>
      </c>
      <c r="B2" s="8"/>
      <c r="C2" s="8"/>
      <c r="D2" s="8"/>
      <c r="E2" s="8"/>
      <c r="F2" s="8"/>
      <c r="G2" s="8"/>
      <c r="H2" s="8"/>
    </row>
    <row r="3" spans="1:9" ht="15" customHeight="1" x14ac:dyDescent="0.2">
      <c r="B3" s="7" t="s">
        <v>1</v>
      </c>
      <c r="C3" s="7"/>
      <c r="D3" s="7"/>
      <c r="E3" s="7"/>
      <c r="F3" s="7"/>
      <c r="G3" s="7"/>
      <c r="H3" s="7"/>
      <c r="I3" s="7"/>
    </row>
    <row r="5" spans="1:9" ht="15" customHeight="1" x14ac:dyDescent="0.2">
      <c r="B5" s="6" t="s">
        <v>2</v>
      </c>
      <c r="C5" s="6"/>
      <c r="D5" s="5">
        <f>ROUND(H17,1)</f>
        <v>48.6</v>
      </c>
      <c r="E5" s="5"/>
      <c r="F5" s="4" t="str">
        <f>_xlfn.IFS(H17&gt;=85,"EXCELLENT",H17&gt;=65,"GOOD",H17&gt;=45,"NEEDS IMPROVEMENT",TRUE(),"CRITICAL")</f>
        <v>NEEDS IMPROVEMENT</v>
      </c>
      <c r="G5" s="4"/>
      <c r="H5" s="4"/>
      <c r="I5" s="4"/>
    </row>
    <row r="6" spans="1:9" ht="15" customHeight="1" x14ac:dyDescent="0.2">
      <c r="B6" s="6"/>
      <c r="C6" s="6"/>
      <c r="D6" s="5"/>
      <c r="E6" s="5"/>
      <c r="F6" s="4"/>
      <c r="G6" s="4"/>
      <c r="H6" s="4"/>
      <c r="I6" s="4"/>
    </row>
    <row r="7" spans="1:9" ht="15" customHeight="1" x14ac:dyDescent="0.2">
      <c r="B7" s="6"/>
      <c r="C7" s="6"/>
      <c r="D7" s="5"/>
      <c r="E7" s="5"/>
      <c r="F7" s="4"/>
      <c r="G7" s="4"/>
      <c r="H7" s="4"/>
      <c r="I7" s="4"/>
    </row>
    <row r="9" spans="1:9" ht="30" customHeight="1" x14ac:dyDescent="0.2">
      <c r="B9" s="10" t="s">
        <v>3</v>
      </c>
      <c r="C9" s="10" t="s">
        <v>4</v>
      </c>
      <c r="D9" s="10" t="s">
        <v>5</v>
      </c>
      <c r="E9" s="10" t="s">
        <v>6</v>
      </c>
      <c r="F9" s="10" t="s">
        <v>7</v>
      </c>
      <c r="G9" s="10" t="s">
        <v>8</v>
      </c>
      <c r="H9" s="10" t="s">
        <v>9</v>
      </c>
    </row>
    <row r="10" spans="1:9" ht="30" customHeight="1" x14ac:dyDescent="0.2">
      <c r="B10" s="11">
        <v>1</v>
      </c>
      <c r="C10" s="12" t="s">
        <v>10</v>
      </c>
      <c r="D10" s="11">
        <v>15</v>
      </c>
      <c r="E10" s="13">
        <v>5</v>
      </c>
      <c r="F10" s="11">
        <f>COUNTIF('1_Generation_Inventory'!C6:C25,"?*")</f>
        <v>0</v>
      </c>
      <c r="G10" s="14">
        <f>IFERROR(MIN(F10/E10,1),0)</f>
        <v>0</v>
      </c>
      <c r="H10" s="15">
        <f>ROUND(G10*D10,1)</f>
        <v>0</v>
      </c>
    </row>
    <row r="11" spans="1:9" ht="30" customHeight="1" x14ac:dyDescent="0.2">
      <c r="B11" s="11">
        <v>2</v>
      </c>
      <c r="C11" s="12" t="s">
        <v>11</v>
      </c>
      <c r="D11" s="11">
        <v>20</v>
      </c>
      <c r="E11" s="16">
        <v>1</v>
      </c>
      <c r="F11" s="14">
        <f>IFERROR('2_Collection_Log'!F27/'2_Collection_Log'!C27,0)</f>
        <v>0.35527060154629453</v>
      </c>
      <c r="G11" s="14">
        <f>IFERROR(MIN(F11/E11,1),0)</f>
        <v>0.35527060154629453</v>
      </c>
      <c r="H11" s="15">
        <f>ROUND(G11*D11,1)</f>
        <v>7.1</v>
      </c>
    </row>
    <row r="12" spans="1:9" ht="30" customHeight="1" x14ac:dyDescent="0.2">
      <c r="B12" s="11">
        <v>3</v>
      </c>
      <c r="C12" s="12" t="s">
        <v>12</v>
      </c>
      <c r="D12" s="11">
        <v>20</v>
      </c>
      <c r="E12" s="16">
        <v>1</v>
      </c>
      <c r="F12" s="14">
        <f>IFERROR(('3_Recycling_Infrastructure'!E28*1000)/'2_Collection_Log'!C27,0)</f>
        <v>11.99321138977937</v>
      </c>
      <c r="G12" s="14">
        <f>IFERROR(MIN(F12/E12,1),0)</f>
        <v>1</v>
      </c>
      <c r="H12" s="15">
        <f>ROUND(G12*D12,1)</f>
        <v>20</v>
      </c>
    </row>
    <row r="13" spans="1:9" ht="30" customHeight="1" x14ac:dyDescent="0.2">
      <c r="B13" s="11">
        <v>4</v>
      </c>
      <c r="C13" s="12" t="s">
        <v>13</v>
      </c>
      <c r="D13" s="11">
        <v>15</v>
      </c>
      <c r="E13" s="16">
        <v>1</v>
      </c>
      <c r="F13" s="14">
        <f>IFERROR('4_Compliance_Tracker'!C28/'4_Compliance_Tracker'!C29,0)</f>
        <v>0.6</v>
      </c>
      <c r="G13" s="14">
        <f>IFERROR(MIN(F13/E13,1),0)</f>
        <v>0.6</v>
      </c>
      <c r="H13" s="15">
        <f>ROUND(G13*D13,1)</f>
        <v>9</v>
      </c>
    </row>
    <row r="14" spans="1:9" ht="30" customHeight="1" x14ac:dyDescent="0.2">
      <c r="B14" s="11">
        <v>5</v>
      </c>
      <c r="C14" s="12" t="s">
        <v>14</v>
      </c>
      <c r="D14" s="11">
        <v>10</v>
      </c>
      <c r="E14" s="16">
        <v>1</v>
      </c>
      <c r="F14" s="14">
        <f>IFERROR('5_Informal_Sector_Hotspots'!C29/'5_Informal_Sector_Hotspots'!C28,0)</f>
        <v>0</v>
      </c>
      <c r="G14" s="14">
        <f>IFERROR(MIN(F14/E14,1),0)</f>
        <v>0</v>
      </c>
      <c r="H14" s="15">
        <f>ROUND(G14*D14,1)</f>
        <v>0</v>
      </c>
    </row>
    <row r="15" spans="1:9" ht="30" customHeight="1" x14ac:dyDescent="0.2">
      <c r="B15" s="11">
        <v>6</v>
      </c>
      <c r="C15" s="12" t="s">
        <v>15</v>
      </c>
      <c r="D15" s="11">
        <v>10</v>
      </c>
      <c r="E15" s="16">
        <v>1</v>
      </c>
      <c r="F15" s="14">
        <f>IFERROR('6_Env_Health_Monitoring'!C28/'5_Informal_Sector_Hotspots'!C28,0)</f>
        <v>1</v>
      </c>
      <c r="G15" s="14">
        <f>IFERROR(MIN(F15/E15,1),0)</f>
        <v>1</v>
      </c>
      <c r="H15" s="15">
        <f>ROUND(G15*D15,1)</f>
        <v>10</v>
      </c>
    </row>
    <row r="16" spans="1:9" ht="30" customHeight="1" x14ac:dyDescent="0.2">
      <c r="B16" s="11">
        <v>7</v>
      </c>
      <c r="C16" s="12" t="s">
        <v>16</v>
      </c>
      <c r="D16" s="11">
        <v>10</v>
      </c>
      <c r="E16" s="13">
        <v>20</v>
      </c>
      <c r="F16" s="11">
        <f>'7_Awareness_Programs'!C28</f>
        <v>5</v>
      </c>
      <c r="G16" s="14">
        <f>IFERROR(MIN(F16/E16,1),0)</f>
        <v>0.25</v>
      </c>
      <c r="H16" s="15">
        <f>ROUND(G16*D16,1)</f>
        <v>2.5</v>
      </c>
    </row>
    <row r="17" spans="2:8" ht="15" customHeight="1" x14ac:dyDescent="0.2">
      <c r="B17" s="17"/>
      <c r="C17" s="18" t="s">
        <v>17</v>
      </c>
      <c r="D17" s="18">
        <f>SUM(D10:D16)</f>
        <v>100</v>
      </c>
      <c r="E17" s="17"/>
      <c r="F17" s="17"/>
      <c r="G17" s="17"/>
      <c r="H17" s="18">
        <f>SUM(H10:H16)</f>
        <v>48.6</v>
      </c>
    </row>
    <row r="19" spans="2:8" ht="15" customHeight="1" x14ac:dyDescent="0.2">
      <c r="B19" s="19" t="s">
        <v>18</v>
      </c>
    </row>
    <row r="20" spans="2:8" ht="15" customHeight="1" x14ac:dyDescent="0.2">
      <c r="B20" s="20" t="s">
        <v>19</v>
      </c>
      <c r="C20" s="20" t="s">
        <v>20</v>
      </c>
    </row>
    <row r="21" spans="2:8" ht="15" customHeight="1" x14ac:dyDescent="0.2">
      <c r="B21" s="20" t="s">
        <v>21</v>
      </c>
      <c r="C21" s="20" t="s">
        <v>22</v>
      </c>
    </row>
    <row r="22" spans="2:8" ht="15" customHeight="1" x14ac:dyDescent="0.2">
      <c r="B22" s="20" t="s">
        <v>23</v>
      </c>
      <c r="C22" s="20" t="s">
        <v>24</v>
      </c>
    </row>
    <row r="23" spans="2:8" ht="15" customHeight="1" x14ac:dyDescent="0.2">
      <c r="B23" s="20" t="s">
        <v>25</v>
      </c>
      <c r="C23" s="20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421875" defaultRowHeight="15" x14ac:dyDescent="0.2"/>
  <cols>
    <col min="1" max="1" width="2.95703125" style="9" customWidth="1"/>
    <col min="2" max="2" width="6.05078125" style="9" customWidth="1"/>
    <col min="3" max="3" width="25.9609375" style="9" customWidth="1"/>
    <col min="4" max="4" width="9.01171875" style="9" customWidth="1"/>
    <col min="5" max="8" width="16.0078125" style="9" customWidth="1"/>
  </cols>
  <sheetData>
    <row r="2" spans="1:8" ht="25.5" customHeight="1" x14ac:dyDescent="0.2">
      <c r="A2" s="8" t="s">
        <v>27</v>
      </c>
      <c r="B2" s="8"/>
      <c r="C2" s="8"/>
      <c r="D2" s="8"/>
      <c r="E2" s="8"/>
      <c r="F2" s="8"/>
      <c r="G2" s="8"/>
    </row>
    <row r="4" spans="1:8" ht="30" customHeight="1" x14ac:dyDescent="0.2">
      <c r="B4" s="3" t="s">
        <v>28</v>
      </c>
      <c r="C4" s="3"/>
      <c r="D4" s="3"/>
      <c r="E4" s="3"/>
      <c r="F4" s="3"/>
      <c r="G4" s="3"/>
      <c r="H4" s="3"/>
    </row>
    <row r="6" spans="1:8" ht="23.25" customHeight="1" x14ac:dyDescent="0.2">
      <c r="B6" s="10" t="s">
        <v>3</v>
      </c>
      <c r="C6" s="10" t="s">
        <v>4</v>
      </c>
      <c r="D6" s="10" t="s">
        <v>5</v>
      </c>
      <c r="E6" s="10" t="s">
        <v>29</v>
      </c>
    </row>
    <row r="7" spans="1:8" ht="30" customHeight="1" x14ac:dyDescent="0.2">
      <c r="B7" s="11">
        <v>1</v>
      </c>
      <c r="C7" s="21" t="s">
        <v>10</v>
      </c>
      <c r="D7" s="11">
        <v>15</v>
      </c>
      <c r="E7" s="2" t="s">
        <v>30</v>
      </c>
      <c r="F7" s="2"/>
      <c r="G7" s="2"/>
      <c r="H7" s="2"/>
    </row>
    <row r="8" spans="1:8" ht="30" customHeight="1" x14ac:dyDescent="0.2">
      <c r="B8" s="11">
        <v>2</v>
      </c>
      <c r="C8" s="21" t="s">
        <v>11</v>
      </c>
      <c r="D8" s="11">
        <v>20</v>
      </c>
      <c r="E8" s="2" t="s">
        <v>31</v>
      </c>
      <c r="F8" s="2"/>
      <c r="G8" s="2"/>
      <c r="H8" s="2"/>
    </row>
    <row r="9" spans="1:8" ht="30" customHeight="1" x14ac:dyDescent="0.2">
      <c r="B9" s="11">
        <v>3</v>
      </c>
      <c r="C9" s="21" t="s">
        <v>12</v>
      </c>
      <c r="D9" s="11">
        <v>20</v>
      </c>
      <c r="E9" s="2" t="s">
        <v>32</v>
      </c>
      <c r="F9" s="2"/>
      <c r="G9" s="2"/>
      <c r="H9" s="2"/>
    </row>
    <row r="10" spans="1:8" ht="30" customHeight="1" x14ac:dyDescent="0.2">
      <c r="B10" s="11">
        <v>4</v>
      </c>
      <c r="C10" s="21" t="s">
        <v>13</v>
      </c>
      <c r="D10" s="11">
        <v>15</v>
      </c>
      <c r="E10" s="2" t="s">
        <v>33</v>
      </c>
      <c r="F10" s="2"/>
      <c r="G10" s="2"/>
      <c r="H10" s="2"/>
    </row>
    <row r="11" spans="1:8" ht="30" customHeight="1" x14ac:dyDescent="0.2">
      <c r="B11" s="11">
        <v>5</v>
      </c>
      <c r="C11" s="21" t="s">
        <v>14</v>
      </c>
      <c r="D11" s="11">
        <v>10</v>
      </c>
      <c r="E11" s="2" t="s">
        <v>34</v>
      </c>
      <c r="F11" s="2"/>
      <c r="G11" s="2"/>
      <c r="H11" s="2"/>
    </row>
    <row r="12" spans="1:8" ht="30" customHeight="1" x14ac:dyDescent="0.2">
      <c r="B12" s="11">
        <v>6</v>
      </c>
      <c r="C12" s="21" t="s">
        <v>15</v>
      </c>
      <c r="D12" s="11">
        <v>10</v>
      </c>
      <c r="E12" s="2" t="s">
        <v>35</v>
      </c>
      <c r="F12" s="2"/>
      <c r="G12" s="2"/>
      <c r="H12" s="2"/>
    </row>
    <row r="13" spans="1:8" ht="30" customHeight="1" x14ac:dyDescent="0.2">
      <c r="B13" s="11">
        <v>7</v>
      </c>
      <c r="C13" s="21" t="s">
        <v>16</v>
      </c>
      <c r="D13" s="11">
        <v>10</v>
      </c>
      <c r="E13" s="2" t="s">
        <v>36</v>
      </c>
      <c r="F13" s="2"/>
      <c r="G13" s="2"/>
      <c r="H13" s="2"/>
    </row>
    <row r="14" spans="1:8" ht="15" customHeight="1" x14ac:dyDescent="0.2">
      <c r="B14" s="17"/>
      <c r="C14" s="18" t="s">
        <v>37</v>
      </c>
      <c r="D14" s="18">
        <v>100</v>
      </c>
      <c r="E14" s="17"/>
      <c r="F14" s="17"/>
      <c r="G14" s="17"/>
      <c r="H14" s="17"/>
    </row>
    <row r="16" spans="1:8" ht="15" customHeight="1" x14ac:dyDescent="0.2">
      <c r="B16" s="19" t="s">
        <v>38</v>
      </c>
    </row>
    <row r="17" spans="2:8" ht="25.5" customHeight="1" x14ac:dyDescent="0.2">
      <c r="B17" s="1" t="s">
        <v>39</v>
      </c>
      <c r="C17" s="1"/>
      <c r="D17" s="1"/>
      <c r="E17" s="1"/>
      <c r="F17" s="1"/>
      <c r="G17" s="1"/>
      <c r="H17" s="1"/>
    </row>
    <row r="18" spans="2:8" ht="25.5" customHeight="1" x14ac:dyDescent="0.2">
      <c r="B18" s="1" t="s">
        <v>40</v>
      </c>
      <c r="C18" s="1"/>
      <c r="D18" s="1"/>
      <c r="E18" s="1"/>
      <c r="F18" s="1"/>
      <c r="G18" s="1"/>
      <c r="H18" s="1"/>
    </row>
    <row r="19" spans="2:8" ht="25.5" customHeight="1" x14ac:dyDescent="0.2">
      <c r="B19" s="1" t="s">
        <v>41</v>
      </c>
      <c r="C19" s="1"/>
      <c r="D19" s="1"/>
      <c r="E19" s="1"/>
      <c r="F19" s="1"/>
      <c r="G19" s="1"/>
      <c r="H19" s="1"/>
    </row>
    <row r="20" spans="2:8" ht="25.5" customHeight="1" x14ac:dyDescent="0.2">
      <c r="B20" s="1" t="s">
        <v>42</v>
      </c>
      <c r="C20" s="1"/>
      <c r="D20" s="1"/>
      <c r="E20" s="1"/>
      <c r="F20" s="1"/>
      <c r="G20" s="1"/>
      <c r="H20" s="1"/>
    </row>
    <row r="21" spans="2:8" ht="25.5" customHeight="1" x14ac:dyDescent="0.2">
      <c r="B21" s="1" t="s">
        <v>43</v>
      </c>
      <c r="C21" s="1"/>
      <c r="D21" s="1"/>
      <c r="E21" s="1"/>
      <c r="F21" s="1"/>
      <c r="G21" s="1"/>
      <c r="H21" s="1"/>
    </row>
  </sheetData>
  <mergeCells count="14">
    <mergeCell ref="B18:H18"/>
    <mergeCell ref="B19:H19"/>
    <mergeCell ref="B20:H20"/>
    <mergeCell ref="B21:H21"/>
    <mergeCell ref="E10:H10"/>
    <mergeCell ref="E11:H11"/>
    <mergeCell ref="E12:H12"/>
    <mergeCell ref="E13:H13"/>
    <mergeCell ref="B17:H17"/>
    <mergeCell ref="A2:G2"/>
    <mergeCell ref="B4:H4"/>
    <mergeCell ref="E7:H7"/>
    <mergeCell ref="E8:H8"/>
    <mergeCell ref="E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2.05859375" style="9" customWidth="1"/>
    <col min="2" max="2" width="55.01953125" style="9" customWidth="1"/>
    <col min="3" max="3" width="13.98828125" style="9" customWidth="1"/>
    <col min="4" max="4" width="18.96484375" style="9" customWidth="1"/>
    <col min="5" max="5" width="39.953125" style="9" customWidth="1"/>
    <col min="6" max="6" width="29.99609375" style="9" customWidth="1"/>
    <col min="7" max="7" width="25.01953125" style="9" customWidth="1"/>
    <col min="8" max="8" width="16.0078125" style="9" customWidth="1"/>
    <col min="9" max="9" width="13.98828125" style="9" customWidth="1"/>
    <col min="10" max="10" width="36.9921875" style="9" customWidth="1"/>
    <col min="11" max="11" width="18.96484375" style="9" customWidth="1"/>
  </cols>
  <sheetData>
    <row r="2" spans="1:11" ht="25.5" customHeight="1" x14ac:dyDescent="0.2">
      <c r="A2" s="8" t="s">
        <v>44</v>
      </c>
      <c r="B2" s="8"/>
      <c r="C2" s="8"/>
      <c r="D2" s="8"/>
      <c r="E2" s="8"/>
      <c r="F2" s="8"/>
      <c r="G2" s="8"/>
      <c r="H2" s="8"/>
      <c r="I2" s="8"/>
      <c r="J2" s="8"/>
    </row>
    <row r="3" spans="1:11" ht="15" customHeight="1" x14ac:dyDescent="0.2">
      <c r="B3" s="7" t="s">
        <v>45</v>
      </c>
      <c r="C3" s="7"/>
      <c r="D3" s="7"/>
      <c r="E3" s="7"/>
      <c r="F3" s="7"/>
      <c r="G3" s="7"/>
      <c r="H3" s="7"/>
      <c r="I3" s="7"/>
      <c r="J3" s="7"/>
      <c r="K3" s="7"/>
    </row>
    <row r="5" spans="1:11" ht="31.5" customHeight="1" x14ac:dyDescent="0.2">
      <c r="B5" s="10" t="s">
        <v>46</v>
      </c>
      <c r="C5" s="10" t="s">
        <v>47</v>
      </c>
      <c r="D5" s="10" t="s">
        <v>48</v>
      </c>
      <c r="E5" s="10" t="s">
        <v>49</v>
      </c>
      <c r="F5" s="10" t="s">
        <v>50</v>
      </c>
      <c r="G5" s="10" t="s">
        <v>51</v>
      </c>
      <c r="H5" s="10" t="s">
        <v>52</v>
      </c>
      <c r="I5" s="10" t="s">
        <v>53</v>
      </c>
      <c r="J5" s="10" t="s">
        <v>54</v>
      </c>
      <c r="K5" s="10" t="s">
        <v>55</v>
      </c>
    </row>
    <row r="6" spans="1:11" ht="15" customHeight="1" x14ac:dyDescent="0.2">
      <c r="B6" s="22" t="s">
        <v>56</v>
      </c>
      <c r="C6" s="22">
        <v>412000</v>
      </c>
      <c r="D6" s="22">
        <v>11000</v>
      </c>
      <c r="E6" s="22">
        <v>6500</v>
      </c>
      <c r="F6" s="22">
        <v>4200</v>
      </c>
      <c r="G6" s="22">
        <v>1200</v>
      </c>
      <c r="H6" s="22">
        <v>2100</v>
      </c>
      <c r="I6" s="22">
        <v>900</v>
      </c>
      <c r="J6" s="22">
        <f>SUM(D6:I6)</f>
        <v>25900</v>
      </c>
      <c r="K6" s="22" t="s">
        <v>57</v>
      </c>
    </row>
    <row r="7" spans="1:11" ht="15" customHeight="1" x14ac:dyDescent="0.2">
      <c r="B7" s="23" t="s">
        <v>58</v>
      </c>
      <c r="C7" s="23">
        <v>525000</v>
      </c>
      <c r="D7" s="23">
        <v>12000</v>
      </c>
      <c r="E7" s="23">
        <v>7200</v>
      </c>
      <c r="F7" s="23">
        <v>4600</v>
      </c>
      <c r="G7" s="23">
        <v>1300</v>
      </c>
      <c r="H7" s="23">
        <v>2200</v>
      </c>
      <c r="I7" s="23">
        <v>1000</v>
      </c>
      <c r="J7" s="24">
        <f>IF(SUM(D7:I7)=0,"",SUM(D7:I7))</f>
        <v>28300</v>
      </c>
      <c r="K7" s="23" t="s">
        <v>59</v>
      </c>
    </row>
    <row r="8" spans="1:11" ht="15" customHeight="1" x14ac:dyDescent="0.2">
      <c r="B8" s="23" t="s">
        <v>60</v>
      </c>
      <c r="C8" s="23">
        <v>454000</v>
      </c>
      <c r="D8" s="23">
        <v>10500</v>
      </c>
      <c r="E8" s="23">
        <v>6200</v>
      </c>
      <c r="F8" s="23">
        <v>3900</v>
      </c>
      <c r="G8" s="23">
        <v>1100</v>
      </c>
      <c r="H8" s="23">
        <v>1900</v>
      </c>
      <c r="I8" s="23">
        <v>800</v>
      </c>
      <c r="J8" s="24">
        <f>IF(SUM(D8:I8)=0,"",SUM(D8:I8))</f>
        <v>24400</v>
      </c>
      <c r="K8" s="23" t="s">
        <v>61</v>
      </c>
    </row>
    <row r="9" spans="1:11" ht="15" customHeight="1" x14ac:dyDescent="0.2">
      <c r="B9" s="23" t="s">
        <v>62</v>
      </c>
      <c r="C9" s="23">
        <v>1565000</v>
      </c>
      <c r="D9" s="23">
        <v>36000</v>
      </c>
      <c r="E9" s="23">
        <v>20000</v>
      </c>
      <c r="F9" s="23">
        <v>13000</v>
      </c>
      <c r="G9" s="23">
        <v>3200</v>
      </c>
      <c r="H9" s="23">
        <v>5200</v>
      </c>
      <c r="I9" s="23">
        <v>2100</v>
      </c>
      <c r="J9" s="24">
        <f>IF(SUM(D9:I9)=0,"",SUM(D9:I9))</f>
        <v>79500</v>
      </c>
      <c r="K9" s="23" t="s">
        <v>63</v>
      </c>
    </row>
    <row r="10" spans="1:11" ht="15" customHeight="1" x14ac:dyDescent="0.2">
      <c r="B10" s="23" t="s">
        <v>64</v>
      </c>
      <c r="C10" s="23">
        <v>85000</v>
      </c>
      <c r="D10" s="23">
        <v>2600</v>
      </c>
      <c r="E10" s="23">
        <v>1500</v>
      </c>
      <c r="F10" s="23">
        <v>900</v>
      </c>
      <c r="G10" s="23">
        <v>250</v>
      </c>
      <c r="H10" s="23">
        <v>500</v>
      </c>
      <c r="I10" s="23">
        <v>200</v>
      </c>
      <c r="J10" s="24">
        <f>IF(SUM(D10:I10)=0,"",SUM(D10:I10))</f>
        <v>5950</v>
      </c>
      <c r="K10" s="23" t="s">
        <v>65</v>
      </c>
    </row>
    <row r="11" spans="1:11" ht="15" customHeight="1" x14ac:dyDescent="0.2">
      <c r="B11" s="23" t="s">
        <v>66</v>
      </c>
      <c r="C11" s="23">
        <v>465000</v>
      </c>
      <c r="D11" s="23">
        <v>14500</v>
      </c>
      <c r="E11" s="23">
        <v>8600</v>
      </c>
      <c r="F11" s="23">
        <v>5200</v>
      </c>
      <c r="G11" s="23">
        <v>1400</v>
      </c>
      <c r="H11" s="23">
        <v>2500</v>
      </c>
      <c r="I11" s="23">
        <v>1000</v>
      </c>
      <c r="J11" s="24">
        <f>IF(SUM(D11:I11)=0,"",SUM(D11:I11))</f>
        <v>33200</v>
      </c>
      <c r="K11" s="23" t="s">
        <v>67</v>
      </c>
    </row>
    <row r="12" spans="1:11" ht="15" customHeight="1" x14ac:dyDescent="0.2">
      <c r="B12" s="23" t="s">
        <v>68</v>
      </c>
      <c r="C12" s="23">
        <v>32000</v>
      </c>
      <c r="D12" s="23">
        <v>1500</v>
      </c>
      <c r="E12" s="23">
        <v>900</v>
      </c>
      <c r="F12" s="23">
        <v>500</v>
      </c>
      <c r="G12" s="23">
        <v>150</v>
      </c>
      <c r="H12" s="23">
        <v>300</v>
      </c>
      <c r="I12" s="23">
        <v>100</v>
      </c>
      <c r="J12" s="24">
        <f>IF(SUM(D12:I12)=0,"",SUM(D12:I12))</f>
        <v>3450</v>
      </c>
      <c r="K12" s="23" t="s">
        <v>65</v>
      </c>
    </row>
    <row r="13" spans="1:11" ht="15" customHeight="1" x14ac:dyDescent="0.2">
      <c r="B13" s="23" t="s">
        <v>69</v>
      </c>
      <c r="C13" s="23">
        <v>1020000</v>
      </c>
      <c r="D13" s="23">
        <v>22500</v>
      </c>
      <c r="E13" s="23">
        <v>13000</v>
      </c>
      <c r="F13" s="23">
        <v>8500</v>
      </c>
      <c r="G13" s="23">
        <v>2100</v>
      </c>
      <c r="H13" s="23">
        <v>3400</v>
      </c>
      <c r="I13" s="23">
        <v>1500</v>
      </c>
      <c r="J13" s="24">
        <f>IF(SUM(D13:I13)=0,"",SUM(D13:I13))</f>
        <v>51000</v>
      </c>
      <c r="K13" s="23" t="s">
        <v>70</v>
      </c>
    </row>
    <row r="14" spans="1:11" ht="15" customHeight="1" x14ac:dyDescent="0.2">
      <c r="B14" s="23" t="s">
        <v>71</v>
      </c>
      <c r="C14" s="23">
        <v>850000</v>
      </c>
      <c r="D14" s="23">
        <v>39000</v>
      </c>
      <c r="E14" s="23">
        <v>21500</v>
      </c>
      <c r="F14" s="23">
        <v>13500</v>
      </c>
      <c r="G14" s="23">
        <v>3500</v>
      </c>
      <c r="H14" s="23">
        <v>5800</v>
      </c>
      <c r="I14" s="23">
        <v>2300</v>
      </c>
      <c r="J14" s="24">
        <f>IF(SUM(D14:I14)=0,"",SUM(D14:I14))</f>
        <v>85600</v>
      </c>
      <c r="K14" s="23" t="s">
        <v>72</v>
      </c>
    </row>
    <row r="15" spans="1:11" ht="15" customHeight="1" x14ac:dyDescent="0.2">
      <c r="B15" s="23" t="s">
        <v>73</v>
      </c>
      <c r="C15" s="23">
        <v>580000</v>
      </c>
      <c r="D15" s="23">
        <v>19000</v>
      </c>
      <c r="E15" s="23">
        <v>11000</v>
      </c>
      <c r="F15" s="23">
        <v>6800</v>
      </c>
      <c r="G15" s="23">
        <v>1800</v>
      </c>
      <c r="H15" s="23">
        <v>2900</v>
      </c>
      <c r="I15" s="23">
        <v>1300</v>
      </c>
      <c r="J15" s="24">
        <f>IF(SUM(D15:I15)=0,"",SUM(D15:I15))</f>
        <v>42800</v>
      </c>
      <c r="K15" s="23" t="s">
        <v>74</v>
      </c>
    </row>
    <row r="16" spans="1:11" ht="15" customHeight="1" x14ac:dyDescent="0.2">
      <c r="B16" s="23" t="s">
        <v>75</v>
      </c>
      <c r="C16" s="23">
        <v>580000</v>
      </c>
      <c r="D16" s="23">
        <v>46000</v>
      </c>
      <c r="E16" s="23">
        <v>26000</v>
      </c>
      <c r="F16" s="23">
        <v>17500</v>
      </c>
      <c r="G16" s="23">
        <v>4200</v>
      </c>
      <c r="H16" s="23">
        <v>6800</v>
      </c>
      <c r="I16" s="23">
        <v>2700</v>
      </c>
      <c r="J16" s="24">
        <f>IF(SUM(D16:I16)=0,"",SUM(D16:I16))</f>
        <v>103200</v>
      </c>
      <c r="K16" s="23" t="s">
        <v>72</v>
      </c>
    </row>
    <row r="17" spans="2:11" ht="15" customHeight="1" x14ac:dyDescent="0.2">
      <c r="B17" s="23" t="s">
        <v>76</v>
      </c>
      <c r="C17" s="23">
        <v>521000</v>
      </c>
      <c r="D17" s="23">
        <v>21000</v>
      </c>
      <c r="E17" s="23">
        <v>12000</v>
      </c>
      <c r="F17" s="23">
        <v>7500</v>
      </c>
      <c r="G17" s="23">
        <v>2000</v>
      </c>
      <c r="H17" s="23">
        <v>3100</v>
      </c>
      <c r="I17" s="23">
        <v>1400</v>
      </c>
      <c r="J17" s="24">
        <f>IF(SUM(D17:I17)=0,"",SUM(D17:I17))</f>
        <v>47000</v>
      </c>
      <c r="K17" s="23" t="s">
        <v>70</v>
      </c>
    </row>
    <row r="18" spans="2:11" ht="15" customHeight="1" x14ac:dyDescent="0.2">
      <c r="B18" s="23"/>
      <c r="C18" s="23"/>
      <c r="D18" s="23"/>
      <c r="E18" s="23"/>
      <c r="F18" s="23"/>
      <c r="G18" s="23"/>
      <c r="H18" s="23"/>
      <c r="I18" s="23"/>
      <c r="J18" s="24" t="str">
        <f>IF(SUM(D18:I18)=0,"",SUM(D18:I18))</f>
        <v/>
      </c>
      <c r="K18" s="23"/>
    </row>
    <row r="19" spans="2:11" ht="15" customHeight="1" x14ac:dyDescent="0.2">
      <c r="B19" s="23"/>
      <c r="C19" s="23"/>
      <c r="D19" s="23"/>
      <c r="E19" s="23"/>
      <c r="F19" s="23"/>
      <c r="G19" s="23"/>
      <c r="H19" s="23"/>
      <c r="I19" s="23"/>
      <c r="J19" s="24" t="str">
        <f>IF(SUM(D19:I19)=0,"",SUM(D19:I19))</f>
        <v/>
      </c>
      <c r="K19" s="23"/>
    </row>
    <row r="20" spans="2:11" ht="15" customHeight="1" x14ac:dyDescent="0.2">
      <c r="B20" s="23"/>
      <c r="C20" s="23"/>
      <c r="D20" s="23"/>
      <c r="E20" s="23"/>
      <c r="F20" s="23"/>
      <c r="G20" s="23"/>
      <c r="H20" s="23"/>
      <c r="I20" s="23"/>
      <c r="J20" s="24" t="str">
        <f>IF(SUM(D20:I20)=0,"",SUM(D20:I20))</f>
        <v/>
      </c>
      <c r="K20" s="23"/>
    </row>
    <row r="21" spans="2:11" ht="15" customHeight="1" x14ac:dyDescent="0.2">
      <c r="B21" s="23"/>
      <c r="C21" s="23"/>
      <c r="D21" s="23"/>
      <c r="E21" s="23"/>
      <c r="F21" s="23"/>
      <c r="G21" s="23"/>
      <c r="H21" s="23"/>
      <c r="I21" s="23"/>
      <c r="J21" s="24" t="str">
        <f>IF(SUM(D21:I21)=0,"",SUM(D21:I21))</f>
        <v/>
      </c>
      <c r="K21" s="23"/>
    </row>
    <row r="22" spans="2:11" ht="15" customHeight="1" x14ac:dyDescent="0.2">
      <c r="B22" s="23"/>
      <c r="C22" s="23"/>
      <c r="D22" s="23"/>
      <c r="E22" s="23"/>
      <c r="F22" s="23"/>
      <c r="G22" s="23"/>
      <c r="H22" s="23"/>
      <c r="I22" s="23"/>
      <c r="J22" s="24" t="str">
        <f>IF(SUM(D22:I22)=0,"",SUM(D22:I22))</f>
        <v/>
      </c>
      <c r="K22" s="23"/>
    </row>
    <row r="23" spans="2:11" ht="15" customHeight="1" x14ac:dyDescent="0.2">
      <c r="B23" s="23"/>
      <c r="C23" s="23"/>
      <c r="D23" s="23"/>
      <c r="E23" s="23"/>
      <c r="F23" s="23"/>
      <c r="G23" s="23"/>
      <c r="H23" s="23"/>
      <c r="I23" s="23"/>
      <c r="J23" s="24" t="str">
        <f>IF(SUM(D23:I23)=0,"",SUM(D23:I23))</f>
        <v/>
      </c>
      <c r="K23" s="23"/>
    </row>
    <row r="24" spans="2:11" ht="15" customHeight="1" x14ac:dyDescent="0.2">
      <c r="B24" s="23"/>
      <c r="C24" s="23"/>
      <c r="D24" s="23"/>
      <c r="E24" s="23"/>
      <c r="F24" s="23"/>
      <c r="G24" s="23"/>
      <c r="H24" s="23"/>
      <c r="I24" s="23"/>
      <c r="J24" s="24" t="str">
        <f>IF(SUM(D24:I24)=0,"",SUM(D24:I24))</f>
        <v/>
      </c>
      <c r="K24" s="23"/>
    </row>
    <row r="25" spans="2:11" ht="15" customHeight="1" x14ac:dyDescent="0.2">
      <c r="B25" s="23"/>
      <c r="C25" s="23"/>
      <c r="D25" s="23"/>
      <c r="E25" s="23"/>
      <c r="F25" s="23"/>
      <c r="G25" s="23"/>
      <c r="H25" s="23"/>
      <c r="I25" s="23"/>
      <c r="J25" s="24" t="str">
        <f>IF(SUM(D25:I25)=0,"",SUM(D25:I25))</f>
        <v/>
      </c>
      <c r="K25" s="23"/>
    </row>
    <row r="27" spans="2:11" ht="15" customHeight="1" x14ac:dyDescent="0.2">
      <c r="B27" s="18" t="s">
        <v>77</v>
      </c>
      <c r="C27" s="18">
        <f>SUM(C6:C25)</f>
        <v>7089000</v>
      </c>
      <c r="D27" s="18">
        <f>SUM(D6:D25)</f>
        <v>235600</v>
      </c>
      <c r="E27" s="18">
        <f>SUM(E6:E25)</f>
        <v>134400</v>
      </c>
      <c r="F27" s="18">
        <f>SUM(F6:F25)</f>
        <v>86100</v>
      </c>
      <c r="G27" s="18">
        <f>SUM(G6:G25)</f>
        <v>22200</v>
      </c>
      <c r="H27" s="18">
        <f>SUM(H6:H25)</f>
        <v>36700</v>
      </c>
      <c r="I27" s="18">
        <f>SUM(I6:I25)</f>
        <v>15300</v>
      </c>
      <c r="J27" s="18">
        <f>SUM(J6:J25)</f>
        <v>530300</v>
      </c>
    </row>
  </sheetData>
  <mergeCells count="2">
    <mergeCell ref="A2:J2"/>
    <mergeCell ref="B3:K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16.0078125" style="9" customWidth="1"/>
    <col min="2" max="3" width="55.01953125" style="9" customWidth="1"/>
    <col min="4" max="4" width="16.0078125" style="9" customWidth="1"/>
    <col min="5" max="5" width="30.9375" style="9" customWidth="1"/>
    <col min="6" max="6" width="27.98046875" style="9" customWidth="1"/>
    <col min="7" max="7" width="29.99609375" style="9" customWidth="1"/>
    <col min="8" max="8" width="55.01953125" style="9" customWidth="1"/>
  </cols>
  <sheetData>
    <row r="2" spans="1:8" ht="25.5" customHeight="1" x14ac:dyDescent="0.2">
      <c r="A2" s="8" t="s">
        <v>78</v>
      </c>
      <c r="B2" s="8"/>
      <c r="C2" s="8"/>
      <c r="D2" s="8"/>
      <c r="E2" s="8"/>
      <c r="F2" s="8"/>
      <c r="G2" s="8"/>
    </row>
    <row r="3" spans="1:8" ht="15" customHeight="1" x14ac:dyDescent="0.2">
      <c r="B3" s="7" t="s">
        <v>79</v>
      </c>
      <c r="C3" s="7"/>
      <c r="D3" s="7"/>
      <c r="E3" s="7"/>
      <c r="F3" s="7"/>
      <c r="G3" s="7"/>
      <c r="H3" s="7"/>
    </row>
    <row r="5" spans="1:8" ht="31.5" customHeight="1" x14ac:dyDescent="0.2">
      <c r="B5" s="10" t="s">
        <v>46</v>
      </c>
      <c r="C5" s="10" t="s">
        <v>80</v>
      </c>
      <c r="D5" s="10" t="s">
        <v>81</v>
      </c>
      <c r="E5" s="10" t="s">
        <v>82</v>
      </c>
      <c r="F5" s="10" t="s">
        <v>83</v>
      </c>
      <c r="G5" s="10" t="s">
        <v>84</v>
      </c>
      <c r="H5" s="10" t="s">
        <v>85</v>
      </c>
    </row>
    <row r="6" spans="1:8" ht="23.25" customHeight="1" x14ac:dyDescent="0.2">
      <c r="B6" s="22" t="s">
        <v>56</v>
      </c>
      <c r="C6" s="22">
        <f>IFERROR(INDEX('1_Generation_Inventory'!$J$6:$J$25,MATCH(B6,'1_Generation_Inventory'!$B$6:$B$25,0)),0)</f>
        <v>25900</v>
      </c>
      <c r="D6" s="22">
        <v>8500</v>
      </c>
      <c r="E6" s="22">
        <v>4</v>
      </c>
      <c r="F6" s="22">
        <v>8000</v>
      </c>
      <c r="G6" s="22">
        <v>7400</v>
      </c>
      <c r="H6" s="22" t="s">
        <v>86</v>
      </c>
    </row>
    <row r="7" spans="1:8" ht="15" customHeight="1" x14ac:dyDescent="0.2">
      <c r="B7" s="23" t="s">
        <v>58</v>
      </c>
      <c r="C7" s="24">
        <f>IFERROR(INDEX('1_Generation_Inventory'!$J$6:$J$25,MATCH(B7,'1_Generation_Inventory'!$B$6:$B$25,0)),"")</f>
        <v>28300</v>
      </c>
      <c r="D7" s="23">
        <v>7800</v>
      </c>
      <c r="E7" s="23">
        <v>3</v>
      </c>
      <c r="F7" s="23">
        <v>8500</v>
      </c>
      <c r="G7" s="23">
        <v>7100</v>
      </c>
      <c r="H7" s="23" t="s">
        <v>87</v>
      </c>
    </row>
    <row r="8" spans="1:8" ht="15" customHeight="1" x14ac:dyDescent="0.2">
      <c r="B8" s="23" t="s">
        <v>60</v>
      </c>
      <c r="C8" s="24">
        <f>IFERROR(INDEX('1_Generation_Inventory'!$J$6:$J$25,MATCH(B8,'1_Generation_Inventory'!$B$6:$B$25,0)),"")</f>
        <v>24400</v>
      </c>
      <c r="D8" s="23">
        <v>8200</v>
      </c>
      <c r="E8" s="23">
        <v>4</v>
      </c>
      <c r="F8" s="23">
        <v>7500</v>
      </c>
      <c r="G8" s="23">
        <v>7300</v>
      </c>
      <c r="H8" s="23" t="s">
        <v>88</v>
      </c>
    </row>
    <row r="9" spans="1:8" ht="15" customHeight="1" x14ac:dyDescent="0.2">
      <c r="B9" s="23" t="s">
        <v>62</v>
      </c>
      <c r="C9" s="24">
        <f>IFERROR(INDEX('1_Generation_Inventory'!$J$6:$J$25,MATCH(B9,'1_Generation_Inventory'!$B$6:$B$25,0)),"")</f>
        <v>79500</v>
      </c>
      <c r="D9" s="23">
        <v>28000</v>
      </c>
      <c r="E9" s="23">
        <v>9</v>
      </c>
      <c r="F9" s="23">
        <v>27000</v>
      </c>
      <c r="G9" s="23">
        <v>25500</v>
      </c>
      <c r="H9" s="23" t="s">
        <v>89</v>
      </c>
    </row>
    <row r="10" spans="1:8" ht="15" customHeight="1" x14ac:dyDescent="0.2">
      <c r="B10" s="23" t="s">
        <v>64</v>
      </c>
      <c r="C10" s="24">
        <f>IFERROR(INDEX('1_Generation_Inventory'!$J$6:$J$25,MATCH(B10,'1_Generation_Inventory'!$B$6:$B$25,0)),"")</f>
        <v>5950</v>
      </c>
      <c r="D10" s="23">
        <v>700</v>
      </c>
      <c r="E10" s="23">
        <v>1</v>
      </c>
      <c r="F10" s="23">
        <v>1200</v>
      </c>
      <c r="G10" s="23">
        <v>600</v>
      </c>
      <c r="H10" s="23" t="s">
        <v>90</v>
      </c>
    </row>
    <row r="11" spans="1:8" ht="15" customHeight="1" x14ac:dyDescent="0.2">
      <c r="B11" s="23" t="s">
        <v>66</v>
      </c>
      <c r="C11" s="24">
        <f>IFERROR(INDEX('1_Generation_Inventory'!$J$6:$J$25,MATCH(B11,'1_Generation_Inventory'!$B$6:$B$25,0)),"")</f>
        <v>33200</v>
      </c>
      <c r="D11" s="23">
        <v>11000</v>
      </c>
      <c r="E11" s="23">
        <v>5</v>
      </c>
      <c r="F11" s="23">
        <v>11500</v>
      </c>
      <c r="G11" s="23">
        <v>10200</v>
      </c>
      <c r="H11" s="23" t="s">
        <v>91</v>
      </c>
    </row>
    <row r="12" spans="1:8" ht="15" customHeight="1" x14ac:dyDescent="0.2">
      <c r="B12" s="23" t="s">
        <v>68</v>
      </c>
      <c r="C12" s="24">
        <f>IFERROR(INDEX('1_Generation_Inventory'!$J$6:$J$25,MATCH(B12,'1_Generation_Inventory'!$B$6:$B$25,0)),"")</f>
        <v>3450</v>
      </c>
      <c r="D12" s="23">
        <v>350</v>
      </c>
      <c r="E12" s="23">
        <v>1</v>
      </c>
      <c r="F12" s="23">
        <v>700</v>
      </c>
      <c r="G12" s="23">
        <v>320</v>
      </c>
      <c r="H12" s="23" t="s">
        <v>92</v>
      </c>
    </row>
    <row r="13" spans="1:8" ht="15" customHeight="1" x14ac:dyDescent="0.2">
      <c r="B13" s="23" t="s">
        <v>69</v>
      </c>
      <c r="C13" s="24">
        <f>IFERROR(INDEX('1_Generation_Inventory'!$J$6:$J$25,MATCH(B13,'1_Generation_Inventory'!$B$6:$B$25,0)),"")</f>
        <v>51000</v>
      </c>
      <c r="D13" s="23">
        <v>17500</v>
      </c>
      <c r="E13" s="23">
        <v>7</v>
      </c>
      <c r="F13" s="23">
        <v>17000</v>
      </c>
      <c r="G13" s="23">
        <v>16200</v>
      </c>
      <c r="H13" s="23" t="s">
        <v>93</v>
      </c>
    </row>
    <row r="14" spans="1:8" ht="15" customHeight="1" x14ac:dyDescent="0.2">
      <c r="B14" s="23" t="s">
        <v>71</v>
      </c>
      <c r="C14" s="24">
        <f>IFERROR(INDEX('1_Generation_Inventory'!$J$6:$J$25,MATCH(B14,'1_Generation_Inventory'!$B$6:$B$25,0)),"")</f>
        <v>85600</v>
      </c>
      <c r="D14" s="23">
        <v>32000</v>
      </c>
      <c r="E14" s="23">
        <v>10</v>
      </c>
      <c r="F14" s="23">
        <v>31000</v>
      </c>
      <c r="G14" s="23">
        <v>29500</v>
      </c>
      <c r="H14" s="23" t="s">
        <v>94</v>
      </c>
    </row>
    <row r="15" spans="1:8" ht="15" customHeight="1" x14ac:dyDescent="0.2">
      <c r="B15" s="23" t="s">
        <v>73</v>
      </c>
      <c r="C15" s="24">
        <f>IFERROR(INDEX('1_Generation_Inventory'!$J$6:$J$25,MATCH(B15,'1_Generation_Inventory'!$B$6:$B$25,0)),"")</f>
        <v>42800</v>
      </c>
      <c r="D15" s="23">
        <v>15000</v>
      </c>
      <c r="E15" s="23">
        <v>6</v>
      </c>
      <c r="F15" s="23">
        <v>14500</v>
      </c>
      <c r="G15" s="23">
        <v>13800</v>
      </c>
      <c r="H15" s="23" t="s">
        <v>95</v>
      </c>
    </row>
    <row r="16" spans="1:8" ht="15" customHeight="1" x14ac:dyDescent="0.2">
      <c r="B16" s="23" t="s">
        <v>75</v>
      </c>
      <c r="C16" s="24">
        <f>IFERROR(INDEX('1_Generation_Inventory'!$J$6:$J$25,MATCH(B16,'1_Generation_Inventory'!$B$6:$B$25,0)),"")</f>
        <v>103200</v>
      </c>
      <c r="D16" s="23">
        <v>48000</v>
      </c>
      <c r="E16" s="23">
        <v>14</v>
      </c>
      <c r="F16" s="23">
        <v>46000</v>
      </c>
      <c r="G16" s="23">
        <v>44500</v>
      </c>
      <c r="H16" s="23" t="s">
        <v>96</v>
      </c>
    </row>
    <row r="17" spans="2:8" ht="15" customHeight="1" x14ac:dyDescent="0.2">
      <c r="B17" s="23" t="s">
        <v>76</v>
      </c>
      <c r="C17" s="24">
        <f>IFERROR(INDEX('1_Generation_Inventory'!$J$6:$J$25,MATCH(B17,'1_Generation_Inventory'!$B$6:$B$25,0)),"")</f>
        <v>47000</v>
      </c>
      <c r="D17" s="23">
        <v>16000</v>
      </c>
      <c r="E17" s="23">
        <v>6</v>
      </c>
      <c r="F17" s="23">
        <v>15500</v>
      </c>
      <c r="G17" s="23">
        <v>14700</v>
      </c>
      <c r="H17" s="23" t="s">
        <v>97</v>
      </c>
    </row>
    <row r="18" spans="2:8" ht="15" customHeight="1" x14ac:dyDescent="0.2">
      <c r="B18" s="23"/>
      <c r="C18" s="24" t="str">
        <f>IFERROR(INDEX('1_Generation_Inventory'!$J$6:$J$25,MATCH(B18,'1_Generation_Inventory'!$B$6:$B$25,0)),"")</f>
        <v/>
      </c>
      <c r="D18" s="23"/>
      <c r="E18" s="23"/>
      <c r="F18" s="23"/>
      <c r="G18" s="23"/>
      <c r="H18" s="23"/>
    </row>
    <row r="19" spans="2:8" ht="15" customHeight="1" x14ac:dyDescent="0.2">
      <c r="B19" s="23"/>
      <c r="C19" s="24" t="str">
        <f>IFERROR(INDEX('1_Generation_Inventory'!$J$6:$J$25,MATCH(B19,'1_Generation_Inventory'!$B$6:$B$25,0)),"")</f>
        <v/>
      </c>
      <c r="D19" s="23"/>
      <c r="E19" s="23"/>
      <c r="F19" s="23"/>
      <c r="G19" s="23"/>
      <c r="H19" s="23"/>
    </row>
    <row r="20" spans="2:8" ht="15" customHeight="1" x14ac:dyDescent="0.2">
      <c r="B20" s="23"/>
      <c r="C20" s="24" t="str">
        <f>IFERROR(INDEX('1_Generation_Inventory'!$J$6:$J$25,MATCH(B20,'1_Generation_Inventory'!$B$6:$B$25,0)),"")</f>
        <v/>
      </c>
      <c r="D20" s="23"/>
      <c r="E20" s="23"/>
      <c r="F20" s="23"/>
      <c r="G20" s="23"/>
      <c r="H20" s="23"/>
    </row>
    <row r="21" spans="2:8" ht="15" customHeight="1" x14ac:dyDescent="0.2">
      <c r="B21" s="23"/>
      <c r="C21" s="24" t="str">
        <f>IFERROR(INDEX('1_Generation_Inventory'!$J$6:$J$25,MATCH(B21,'1_Generation_Inventory'!$B$6:$B$25,0)),"")</f>
        <v/>
      </c>
      <c r="D21" s="23"/>
      <c r="E21" s="23"/>
      <c r="F21" s="23"/>
      <c r="G21" s="23"/>
      <c r="H21" s="23"/>
    </row>
    <row r="22" spans="2:8" ht="15" customHeight="1" x14ac:dyDescent="0.2">
      <c r="B22" s="23"/>
      <c r="C22" s="24" t="str">
        <f>IFERROR(INDEX('1_Generation_Inventory'!$J$6:$J$25,MATCH(B22,'1_Generation_Inventory'!$B$6:$B$25,0)),"")</f>
        <v/>
      </c>
      <c r="D22" s="23"/>
      <c r="E22" s="23"/>
      <c r="F22" s="23"/>
      <c r="G22" s="23"/>
      <c r="H22" s="23"/>
    </row>
    <row r="23" spans="2:8" ht="15" customHeight="1" x14ac:dyDescent="0.2">
      <c r="B23" s="23"/>
      <c r="C23" s="24" t="str">
        <f>IFERROR(INDEX('1_Generation_Inventory'!$J$6:$J$25,MATCH(B23,'1_Generation_Inventory'!$B$6:$B$25,0)),"")</f>
        <v/>
      </c>
      <c r="D23" s="23"/>
      <c r="E23" s="23"/>
      <c r="F23" s="23"/>
      <c r="G23" s="23"/>
      <c r="H23" s="23"/>
    </row>
    <row r="24" spans="2:8" ht="15" customHeight="1" x14ac:dyDescent="0.2">
      <c r="B24" s="23"/>
      <c r="C24" s="24" t="str">
        <f>IFERROR(INDEX('1_Generation_Inventory'!$J$6:$J$25,MATCH(B24,'1_Generation_Inventory'!$B$6:$B$25,0)),"")</f>
        <v/>
      </c>
      <c r="D24" s="23"/>
      <c r="E24" s="23"/>
      <c r="F24" s="23"/>
      <c r="G24" s="23"/>
      <c r="H24" s="23"/>
    </row>
    <row r="25" spans="2:8" ht="15" customHeight="1" x14ac:dyDescent="0.2">
      <c r="B25" s="23"/>
      <c r="C25" s="24" t="str">
        <f>IFERROR(INDEX('1_Generation_Inventory'!$J$6:$J$25,MATCH(B25,'1_Generation_Inventory'!$B$6:$B$25,0)),"")</f>
        <v/>
      </c>
      <c r="D25" s="23"/>
      <c r="E25" s="23"/>
      <c r="F25" s="23"/>
      <c r="G25" s="23"/>
      <c r="H25" s="23"/>
    </row>
    <row r="27" spans="2:8" ht="15" customHeight="1" x14ac:dyDescent="0.2">
      <c r="B27" s="18" t="s">
        <v>77</v>
      </c>
      <c r="C27" s="18">
        <f>SUM(C6:C25)</f>
        <v>530300</v>
      </c>
      <c r="D27" s="18">
        <f>SUM(D6:D25)</f>
        <v>193050</v>
      </c>
      <c r="E27" s="18">
        <f>SUM(E6:E25)</f>
        <v>70</v>
      </c>
      <c r="F27" s="18">
        <f>SUM(F6:F25)</f>
        <v>188400</v>
      </c>
      <c r="G27" s="18">
        <f>SUM(G6:G25)</f>
        <v>177120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5.9609375" style="9" customWidth="1"/>
    <col min="2" max="2" width="55.01953125" style="9" customWidth="1"/>
    <col min="3" max="3" width="29.0546875" style="9" customWidth="1"/>
    <col min="4" max="4" width="13.98828125" style="9" customWidth="1"/>
    <col min="5" max="5" width="32.015625" style="9" customWidth="1"/>
    <col min="6" max="6" width="39.01171875" style="9" customWidth="1"/>
    <col min="7" max="8" width="27.98046875" style="9" customWidth="1"/>
  </cols>
  <sheetData>
    <row r="2" spans="1:8" ht="25.5" customHeight="1" x14ac:dyDescent="0.2">
      <c r="A2" s="8" t="s">
        <v>98</v>
      </c>
      <c r="B2" s="8"/>
      <c r="C2" s="8"/>
      <c r="D2" s="8"/>
      <c r="E2" s="8"/>
      <c r="F2" s="8"/>
      <c r="G2" s="8"/>
    </row>
    <row r="3" spans="1:8" ht="15" customHeight="1" x14ac:dyDescent="0.2">
      <c r="B3" s="7" t="s">
        <v>99</v>
      </c>
      <c r="C3" s="7"/>
      <c r="D3" s="7"/>
      <c r="E3" s="7"/>
      <c r="F3" s="7"/>
      <c r="G3" s="7"/>
      <c r="H3" s="7"/>
    </row>
    <row r="5" spans="1:8" ht="31.5" customHeight="1" x14ac:dyDescent="0.2">
      <c r="B5" s="10" t="s">
        <v>100</v>
      </c>
      <c r="C5" s="10" t="s">
        <v>101</v>
      </c>
      <c r="D5" s="10" t="s">
        <v>46</v>
      </c>
      <c r="E5" s="10" t="s">
        <v>102</v>
      </c>
      <c r="F5" s="10" t="s">
        <v>103</v>
      </c>
      <c r="G5" s="10" t="s">
        <v>104</v>
      </c>
      <c r="H5" s="10" t="s">
        <v>105</v>
      </c>
    </row>
    <row r="6" spans="1:8" ht="23.25" customHeight="1" x14ac:dyDescent="0.2">
      <c r="B6" s="22" t="s">
        <v>106</v>
      </c>
      <c r="C6" s="22" t="s">
        <v>107</v>
      </c>
      <c r="D6" s="22" t="s">
        <v>75</v>
      </c>
      <c r="E6" s="22">
        <v>5200</v>
      </c>
      <c r="F6" s="22">
        <v>3900</v>
      </c>
      <c r="G6" s="25">
        <v>0.82</v>
      </c>
      <c r="H6" s="22" t="s">
        <v>108</v>
      </c>
    </row>
    <row r="7" spans="1:8" ht="15" customHeight="1" x14ac:dyDescent="0.2">
      <c r="B7" s="23" t="s">
        <v>109</v>
      </c>
      <c r="C7" s="23" t="s">
        <v>110</v>
      </c>
      <c r="D7" s="23" t="s">
        <v>75</v>
      </c>
      <c r="E7" s="23">
        <v>500</v>
      </c>
      <c r="F7" s="23">
        <v>340</v>
      </c>
      <c r="G7" s="26">
        <v>0.78</v>
      </c>
      <c r="H7" s="23" t="s">
        <v>111</v>
      </c>
    </row>
    <row r="8" spans="1:8" ht="15" customHeight="1" x14ac:dyDescent="0.2">
      <c r="B8" s="23" t="s">
        <v>112</v>
      </c>
      <c r="C8" s="23" t="s">
        <v>113</v>
      </c>
      <c r="D8" s="23" t="s">
        <v>75</v>
      </c>
      <c r="E8" s="23">
        <v>540</v>
      </c>
      <c r="F8" s="23">
        <v>410</v>
      </c>
      <c r="G8" s="26">
        <v>0.8</v>
      </c>
      <c r="H8" s="23" t="s">
        <v>108</v>
      </c>
    </row>
    <row r="9" spans="1:8" ht="15" customHeight="1" x14ac:dyDescent="0.2">
      <c r="B9" s="23" t="s">
        <v>114</v>
      </c>
      <c r="C9" s="23" t="s">
        <v>115</v>
      </c>
      <c r="D9" s="23" t="s">
        <v>75</v>
      </c>
      <c r="E9" s="23">
        <v>120</v>
      </c>
      <c r="F9" s="23">
        <v>78</v>
      </c>
      <c r="G9" s="26">
        <v>0.75</v>
      </c>
      <c r="H9" s="23" t="s">
        <v>111</v>
      </c>
    </row>
    <row r="10" spans="1:8" ht="15" customHeight="1" x14ac:dyDescent="0.2">
      <c r="B10" s="23"/>
      <c r="C10" s="23"/>
      <c r="D10" s="23"/>
      <c r="E10" s="23"/>
      <c r="F10" s="23"/>
      <c r="G10" s="26"/>
      <c r="H10" s="23"/>
    </row>
    <row r="11" spans="1:8" ht="15" customHeight="1" x14ac:dyDescent="0.2">
      <c r="B11" s="23"/>
      <c r="C11" s="23"/>
      <c r="D11" s="23"/>
      <c r="E11" s="23"/>
      <c r="F11" s="23"/>
      <c r="G11" s="26"/>
      <c r="H11" s="23"/>
    </row>
    <row r="12" spans="1:8" ht="15" customHeight="1" x14ac:dyDescent="0.2">
      <c r="B12" s="23"/>
      <c r="C12" s="23"/>
      <c r="D12" s="23"/>
      <c r="E12" s="23"/>
      <c r="F12" s="23"/>
      <c r="G12" s="26"/>
      <c r="H12" s="23"/>
    </row>
    <row r="13" spans="1:8" ht="15" customHeight="1" x14ac:dyDescent="0.2">
      <c r="B13" s="23"/>
      <c r="C13" s="23"/>
      <c r="D13" s="23"/>
      <c r="E13" s="23"/>
      <c r="F13" s="23"/>
      <c r="G13" s="26"/>
      <c r="H13" s="23"/>
    </row>
    <row r="14" spans="1:8" ht="15" customHeight="1" x14ac:dyDescent="0.2">
      <c r="B14" s="23"/>
      <c r="C14" s="23"/>
      <c r="D14" s="23"/>
      <c r="E14" s="23"/>
      <c r="F14" s="23"/>
      <c r="G14" s="26"/>
      <c r="H14" s="23"/>
    </row>
    <row r="15" spans="1:8" ht="15" customHeight="1" x14ac:dyDescent="0.2">
      <c r="B15" s="23"/>
      <c r="C15" s="23"/>
      <c r="D15" s="23"/>
      <c r="E15" s="23"/>
      <c r="F15" s="23"/>
      <c r="G15" s="26"/>
      <c r="H15" s="23"/>
    </row>
    <row r="16" spans="1:8" ht="15" customHeight="1" x14ac:dyDescent="0.2">
      <c r="B16" s="23"/>
      <c r="C16" s="23"/>
      <c r="D16" s="23"/>
      <c r="E16" s="23"/>
      <c r="F16" s="23"/>
      <c r="G16" s="26"/>
      <c r="H16" s="23"/>
    </row>
    <row r="17" spans="2:8" ht="15" customHeight="1" x14ac:dyDescent="0.2">
      <c r="B17" s="23"/>
      <c r="C17" s="23"/>
      <c r="D17" s="23"/>
      <c r="E17" s="23"/>
      <c r="F17" s="23"/>
      <c r="G17" s="26"/>
      <c r="H17" s="23"/>
    </row>
    <row r="18" spans="2:8" ht="15" customHeight="1" x14ac:dyDescent="0.2">
      <c r="B18" s="23"/>
      <c r="C18" s="23"/>
      <c r="D18" s="23"/>
      <c r="E18" s="23"/>
      <c r="F18" s="23"/>
      <c r="G18" s="26"/>
      <c r="H18" s="23"/>
    </row>
    <row r="19" spans="2:8" ht="15" customHeight="1" x14ac:dyDescent="0.2">
      <c r="B19" s="23"/>
      <c r="C19" s="23"/>
      <c r="D19" s="23"/>
      <c r="E19" s="23"/>
      <c r="F19" s="23"/>
      <c r="G19" s="26"/>
      <c r="H19" s="23"/>
    </row>
    <row r="20" spans="2:8" ht="15" customHeight="1" x14ac:dyDescent="0.2">
      <c r="B20" s="23"/>
      <c r="C20" s="23"/>
      <c r="D20" s="23"/>
      <c r="E20" s="23"/>
      <c r="F20" s="23"/>
      <c r="G20" s="26"/>
      <c r="H20" s="23"/>
    </row>
    <row r="21" spans="2:8" ht="15" customHeight="1" x14ac:dyDescent="0.2">
      <c r="B21" s="23"/>
      <c r="C21" s="23"/>
      <c r="D21" s="23"/>
      <c r="E21" s="23"/>
      <c r="F21" s="23"/>
      <c r="G21" s="26"/>
      <c r="H21" s="23"/>
    </row>
    <row r="22" spans="2:8" ht="15" customHeight="1" x14ac:dyDescent="0.2">
      <c r="B22" s="23"/>
      <c r="C22" s="23"/>
      <c r="D22" s="23"/>
      <c r="E22" s="23"/>
      <c r="F22" s="23"/>
      <c r="G22" s="26"/>
      <c r="H22" s="23"/>
    </row>
    <row r="23" spans="2:8" ht="15" customHeight="1" x14ac:dyDescent="0.2">
      <c r="B23" s="23"/>
      <c r="C23" s="23"/>
      <c r="D23" s="23"/>
      <c r="E23" s="23"/>
      <c r="F23" s="23"/>
      <c r="G23" s="26"/>
      <c r="H23" s="23"/>
    </row>
    <row r="24" spans="2:8" ht="15" customHeight="1" x14ac:dyDescent="0.2">
      <c r="B24" s="23"/>
      <c r="C24" s="23"/>
      <c r="D24" s="23"/>
      <c r="E24" s="23"/>
      <c r="F24" s="23"/>
      <c r="G24" s="26"/>
      <c r="H24" s="23"/>
    </row>
    <row r="25" spans="2:8" ht="15" customHeight="1" x14ac:dyDescent="0.2">
      <c r="B25" s="23"/>
      <c r="C25" s="23"/>
      <c r="D25" s="23"/>
      <c r="E25" s="23"/>
      <c r="F25" s="23"/>
      <c r="G25" s="26"/>
      <c r="H25" s="23"/>
    </row>
    <row r="26" spans="2:8" ht="15" customHeight="1" x14ac:dyDescent="0.2">
      <c r="B26" s="23"/>
      <c r="C26" s="23"/>
      <c r="D26" s="23"/>
      <c r="E26" s="23"/>
      <c r="F26" s="23"/>
      <c r="G26" s="26"/>
      <c r="H26" s="23"/>
    </row>
    <row r="28" spans="2:8" ht="15" customHeight="1" x14ac:dyDescent="0.2">
      <c r="B28" s="18" t="s">
        <v>77</v>
      </c>
      <c r="D28" s="18">
        <f>SUM(D6:D26)</f>
        <v>0</v>
      </c>
      <c r="E28" s="18">
        <f>SUM(E6:E26)</f>
        <v>6360</v>
      </c>
      <c r="F28" s="27">
        <f>IFERROR(AVERAGE(F6:F26),0)</f>
        <v>1182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0.04296875" style="9" customWidth="1"/>
    <col min="2" max="2" width="55.01953125" style="9" customWidth="1"/>
    <col min="3" max="3" width="29.99609375" style="9" customWidth="1"/>
    <col min="4" max="4" width="20.984375" style="9" customWidth="1"/>
    <col min="5" max="5" width="25.9609375" style="9" customWidth="1"/>
    <col min="6" max="6" width="27.98046875" style="9" customWidth="1"/>
    <col min="7" max="7" width="34.97265625" style="9" customWidth="1"/>
    <col min="8" max="8" width="23.9453125" style="9" customWidth="1"/>
    <col min="9" max="9" width="55.01953125" style="9" customWidth="1"/>
  </cols>
  <sheetData>
    <row r="2" spans="1:9" ht="25.5" customHeight="1" x14ac:dyDescent="0.2">
      <c r="A2" s="8" t="s">
        <v>116</v>
      </c>
      <c r="B2" s="8"/>
      <c r="C2" s="8"/>
      <c r="D2" s="8"/>
      <c r="E2" s="8"/>
      <c r="F2" s="8"/>
      <c r="G2" s="8"/>
      <c r="H2" s="8"/>
    </row>
    <row r="3" spans="1:9" ht="15" customHeight="1" x14ac:dyDescent="0.2">
      <c r="B3" s="7" t="s">
        <v>117</v>
      </c>
      <c r="C3" s="7"/>
      <c r="D3" s="7"/>
      <c r="E3" s="7"/>
      <c r="F3" s="7"/>
      <c r="G3" s="7"/>
      <c r="H3" s="7"/>
      <c r="I3" s="7"/>
    </row>
    <row r="5" spans="1:9" ht="31.5" customHeight="1" x14ac:dyDescent="0.2">
      <c r="B5" s="10" t="s">
        <v>118</v>
      </c>
      <c r="C5" s="10" t="s">
        <v>119</v>
      </c>
      <c r="D5" s="10" t="s">
        <v>120</v>
      </c>
      <c r="E5" s="10" t="s">
        <v>121</v>
      </c>
      <c r="F5" s="10" t="s">
        <v>122</v>
      </c>
      <c r="G5" s="10" t="s">
        <v>123</v>
      </c>
      <c r="H5" s="10" t="s">
        <v>124</v>
      </c>
      <c r="I5" s="10" t="s">
        <v>85</v>
      </c>
    </row>
    <row r="6" spans="1:9" ht="15" customHeight="1" x14ac:dyDescent="0.2">
      <c r="B6" s="22" t="s">
        <v>125</v>
      </c>
      <c r="C6" s="22" t="s">
        <v>126</v>
      </c>
      <c r="D6" s="22" t="s">
        <v>127</v>
      </c>
      <c r="E6" s="22" t="s">
        <v>128</v>
      </c>
      <c r="F6" s="22" t="s">
        <v>128</v>
      </c>
      <c r="G6" s="22" t="s">
        <v>129</v>
      </c>
      <c r="H6" s="22" t="s">
        <v>130</v>
      </c>
      <c r="I6" s="22" t="s">
        <v>131</v>
      </c>
    </row>
    <row r="7" spans="1:9" ht="15" customHeight="1" x14ac:dyDescent="0.2">
      <c r="B7" s="23" t="s">
        <v>132</v>
      </c>
      <c r="C7" s="23" t="s">
        <v>133</v>
      </c>
      <c r="D7" s="23" t="s">
        <v>127</v>
      </c>
      <c r="E7" s="23" t="s">
        <v>128</v>
      </c>
      <c r="F7" s="23" t="s">
        <v>128</v>
      </c>
      <c r="G7" s="23" t="s">
        <v>129</v>
      </c>
      <c r="H7" s="23" t="s">
        <v>130</v>
      </c>
      <c r="I7" s="23" t="s">
        <v>134</v>
      </c>
    </row>
    <row r="8" spans="1:9" ht="15" customHeight="1" x14ac:dyDescent="0.2">
      <c r="B8" s="23" t="s">
        <v>135</v>
      </c>
      <c r="C8" s="23" t="s">
        <v>136</v>
      </c>
      <c r="D8" s="23" t="s">
        <v>137</v>
      </c>
      <c r="E8" s="23" t="s">
        <v>128</v>
      </c>
      <c r="F8" s="23" t="s">
        <v>128</v>
      </c>
      <c r="G8" s="23" t="s">
        <v>128</v>
      </c>
      <c r="H8" s="23" t="s">
        <v>129</v>
      </c>
      <c r="I8" s="23" t="s">
        <v>138</v>
      </c>
    </row>
    <row r="9" spans="1:9" ht="15" customHeight="1" x14ac:dyDescent="0.2">
      <c r="B9" s="23" t="s">
        <v>139</v>
      </c>
      <c r="C9" s="23" t="s">
        <v>140</v>
      </c>
      <c r="D9" s="23" t="s">
        <v>127</v>
      </c>
      <c r="E9" s="23" t="s">
        <v>128</v>
      </c>
      <c r="F9" s="23" t="s">
        <v>128</v>
      </c>
      <c r="G9" s="23" t="s">
        <v>129</v>
      </c>
      <c r="H9" s="23" t="s">
        <v>130</v>
      </c>
      <c r="I9" s="23" t="s">
        <v>141</v>
      </c>
    </row>
    <row r="10" spans="1:9" ht="15" customHeight="1" x14ac:dyDescent="0.2">
      <c r="B10" s="23" t="s">
        <v>142</v>
      </c>
      <c r="C10" s="23" t="s">
        <v>143</v>
      </c>
      <c r="D10" s="23" t="s">
        <v>144</v>
      </c>
      <c r="E10" s="23" t="s">
        <v>128</v>
      </c>
      <c r="F10" s="23" t="s">
        <v>129</v>
      </c>
      <c r="G10" s="23" t="s">
        <v>128</v>
      </c>
      <c r="H10" s="23" t="s">
        <v>129</v>
      </c>
      <c r="I10" s="23" t="s">
        <v>145</v>
      </c>
    </row>
    <row r="11" spans="1:9" ht="15" customHeight="1" x14ac:dyDescent="0.2">
      <c r="B11" s="23"/>
      <c r="C11" s="23"/>
      <c r="D11" s="23"/>
      <c r="E11" s="23"/>
      <c r="F11" s="23"/>
      <c r="G11" s="23"/>
      <c r="H11" s="23"/>
      <c r="I11" s="23"/>
    </row>
    <row r="12" spans="1:9" ht="15" customHeight="1" x14ac:dyDescent="0.2">
      <c r="B12" s="23"/>
      <c r="C12" s="23"/>
      <c r="D12" s="23"/>
      <c r="E12" s="23"/>
      <c r="F12" s="23"/>
      <c r="G12" s="23"/>
      <c r="H12" s="23"/>
      <c r="I12" s="23"/>
    </row>
    <row r="13" spans="1:9" ht="15" customHeight="1" x14ac:dyDescent="0.2">
      <c r="B13" s="23"/>
      <c r="C13" s="23"/>
      <c r="D13" s="23"/>
      <c r="E13" s="23"/>
      <c r="F13" s="23"/>
      <c r="G13" s="23"/>
      <c r="H13" s="23"/>
      <c r="I13" s="23"/>
    </row>
    <row r="14" spans="1:9" ht="15" customHeight="1" x14ac:dyDescent="0.2">
      <c r="B14" s="23"/>
      <c r="C14" s="23"/>
      <c r="D14" s="23"/>
      <c r="E14" s="23"/>
      <c r="F14" s="23"/>
      <c r="G14" s="23"/>
      <c r="H14" s="23"/>
      <c r="I14" s="23"/>
    </row>
    <row r="15" spans="1:9" ht="15" customHeight="1" x14ac:dyDescent="0.2">
      <c r="B15" s="23"/>
      <c r="C15" s="23"/>
      <c r="D15" s="23"/>
      <c r="E15" s="23"/>
      <c r="F15" s="23"/>
      <c r="G15" s="23"/>
      <c r="H15" s="23"/>
      <c r="I15" s="23"/>
    </row>
    <row r="16" spans="1:9" ht="15" customHeight="1" x14ac:dyDescent="0.2">
      <c r="B16" s="23"/>
      <c r="C16" s="23"/>
      <c r="D16" s="23"/>
      <c r="E16" s="23"/>
      <c r="F16" s="23"/>
      <c r="G16" s="23"/>
      <c r="H16" s="23"/>
      <c r="I16" s="23"/>
    </row>
    <row r="17" spans="2:9" ht="15" customHeight="1" x14ac:dyDescent="0.2">
      <c r="B17" s="23"/>
      <c r="C17" s="23"/>
      <c r="D17" s="23"/>
      <c r="E17" s="23"/>
      <c r="F17" s="23"/>
      <c r="G17" s="23"/>
      <c r="H17" s="23"/>
      <c r="I17" s="23"/>
    </row>
    <row r="18" spans="2:9" ht="15" customHeight="1" x14ac:dyDescent="0.2">
      <c r="B18" s="23"/>
      <c r="C18" s="23"/>
      <c r="D18" s="23"/>
      <c r="E18" s="23"/>
      <c r="F18" s="23"/>
      <c r="G18" s="23"/>
      <c r="H18" s="23"/>
      <c r="I18" s="23"/>
    </row>
    <row r="19" spans="2:9" ht="15" customHeight="1" x14ac:dyDescent="0.2">
      <c r="B19" s="23"/>
      <c r="C19" s="23"/>
      <c r="D19" s="23"/>
      <c r="E19" s="23"/>
      <c r="F19" s="23"/>
      <c r="G19" s="23"/>
      <c r="H19" s="23"/>
      <c r="I19" s="23"/>
    </row>
    <row r="20" spans="2:9" ht="15" customHeight="1" x14ac:dyDescent="0.2">
      <c r="B20" s="23"/>
      <c r="C20" s="23"/>
      <c r="D20" s="23"/>
      <c r="E20" s="23"/>
      <c r="F20" s="23"/>
      <c r="G20" s="23"/>
      <c r="H20" s="23"/>
      <c r="I20" s="23"/>
    </row>
    <row r="21" spans="2:9" ht="15" customHeight="1" x14ac:dyDescent="0.2">
      <c r="B21" s="23"/>
      <c r="C21" s="23"/>
      <c r="D21" s="23"/>
      <c r="E21" s="23"/>
      <c r="F21" s="23"/>
      <c r="G21" s="23"/>
      <c r="H21" s="23"/>
      <c r="I21" s="23"/>
    </row>
    <row r="22" spans="2:9" ht="15" customHeight="1" x14ac:dyDescent="0.2">
      <c r="B22" s="23"/>
      <c r="C22" s="23"/>
      <c r="D22" s="23"/>
      <c r="E22" s="23"/>
      <c r="F22" s="23"/>
      <c r="G22" s="23"/>
      <c r="H22" s="23"/>
      <c r="I22" s="23"/>
    </row>
    <row r="23" spans="2:9" ht="15" customHeight="1" x14ac:dyDescent="0.2">
      <c r="B23" s="23"/>
      <c r="C23" s="23"/>
      <c r="D23" s="23"/>
      <c r="E23" s="23"/>
      <c r="F23" s="23"/>
      <c r="G23" s="23"/>
      <c r="H23" s="23"/>
      <c r="I23" s="23"/>
    </row>
    <row r="24" spans="2:9" ht="15" customHeight="1" x14ac:dyDescent="0.2">
      <c r="B24" s="23"/>
      <c r="C24" s="23"/>
      <c r="D24" s="23"/>
      <c r="E24" s="23"/>
      <c r="F24" s="23"/>
      <c r="G24" s="23"/>
      <c r="H24" s="23"/>
      <c r="I24" s="23"/>
    </row>
    <row r="25" spans="2:9" ht="15" customHeight="1" x14ac:dyDescent="0.2">
      <c r="B25" s="23"/>
      <c r="C25" s="23"/>
      <c r="D25" s="23"/>
      <c r="E25" s="23"/>
      <c r="F25" s="23"/>
      <c r="G25" s="23"/>
      <c r="H25" s="23"/>
      <c r="I25" s="23"/>
    </row>
    <row r="26" spans="2:9" ht="15" customHeight="1" x14ac:dyDescent="0.2">
      <c r="B26" s="23"/>
      <c r="C26" s="23"/>
      <c r="D26" s="23"/>
      <c r="E26" s="23"/>
      <c r="F26" s="23"/>
      <c r="G26" s="23"/>
      <c r="H26" s="23"/>
      <c r="I26" s="23"/>
    </row>
    <row r="28" spans="2:9" ht="15" customHeight="1" x14ac:dyDescent="0.2">
      <c r="B28" s="18" t="s">
        <v>127</v>
      </c>
      <c r="C28" s="18">
        <f>COUNTIF(D6:D26,"Compliant")</f>
        <v>3</v>
      </c>
    </row>
    <row r="29" spans="2:9" ht="15" customHeight="1" x14ac:dyDescent="0.2">
      <c r="B29" s="18" t="s">
        <v>146</v>
      </c>
      <c r="C29" s="18">
        <f>COUNTA(B6:B26)</f>
        <v>5</v>
      </c>
    </row>
    <row r="30" spans="2:9" ht="15" customHeight="1" x14ac:dyDescent="0.2">
      <c r="B30" s="18" t="s">
        <v>147</v>
      </c>
      <c r="C30" s="18">
        <f>COUNTIF(E6:E26,"Yes")</f>
        <v>5</v>
      </c>
    </row>
    <row r="31" spans="2:9" ht="15" customHeight="1" x14ac:dyDescent="0.2">
      <c r="B31" s="18" t="s">
        <v>148</v>
      </c>
      <c r="C31" s="18">
        <f>COUNTIF(F6:F26,"Yes")</f>
        <v>4</v>
      </c>
    </row>
    <row r="32" spans="2:9" ht="15" customHeight="1" x14ac:dyDescent="0.2">
      <c r="B32" s="18" t="s">
        <v>149</v>
      </c>
      <c r="C32" s="18">
        <f>COUNTIF(G6:G26,"Yes")</f>
        <v>2</v>
      </c>
    </row>
    <row r="33" spans="2:3" ht="15" customHeight="1" x14ac:dyDescent="0.2">
      <c r="B33" s="18" t="s">
        <v>150</v>
      </c>
      <c r="C33" s="18">
        <f>COUNTIF(H6:H26,"Yes")</f>
        <v>0</v>
      </c>
    </row>
  </sheetData>
  <mergeCells count="2">
    <mergeCell ref="A2:H2"/>
    <mergeCell ref="B3:I3"/>
  </mergeCells>
  <dataValidations count="2">
    <dataValidation type="list" allowBlank="1" sqref="D7:D26" xr:uid="{00000000-0002-0000-0500-000000000000}">
      <formula1>"Compliant,Non-compliant,Under Review"</formula1>
      <formula2>0</formula2>
    </dataValidation>
    <dataValidation type="list" allowBlank="1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5.9609375" style="9" customWidth="1"/>
    <col min="2" max="3" width="55.01953125" style="9" customWidth="1"/>
    <col min="4" max="5" width="22.05859375" style="9" customWidth="1"/>
    <col min="6" max="6" width="29.99609375" style="9" customWidth="1"/>
    <col min="7" max="8" width="55.01953125" style="9" customWidth="1"/>
  </cols>
  <sheetData>
    <row r="2" spans="1:8" ht="25.5" customHeight="1" x14ac:dyDescent="0.2">
      <c r="A2" s="8" t="s">
        <v>151</v>
      </c>
      <c r="B2" s="8"/>
      <c r="C2" s="8"/>
      <c r="D2" s="8"/>
      <c r="E2" s="8"/>
      <c r="F2" s="8"/>
      <c r="G2" s="8"/>
    </row>
    <row r="3" spans="1:8" ht="15" customHeight="1" x14ac:dyDescent="0.2">
      <c r="B3" s="7" t="s">
        <v>152</v>
      </c>
      <c r="C3" s="7"/>
      <c r="D3" s="7"/>
      <c r="E3" s="7"/>
      <c r="F3" s="7"/>
      <c r="G3" s="7"/>
      <c r="H3" s="7"/>
    </row>
    <row r="5" spans="1:8" ht="31.5" customHeight="1" x14ac:dyDescent="0.2">
      <c r="B5" s="10" t="s">
        <v>153</v>
      </c>
      <c r="C5" s="10" t="s">
        <v>46</v>
      </c>
      <c r="D5" s="10" t="s">
        <v>154</v>
      </c>
      <c r="E5" s="10" t="s">
        <v>155</v>
      </c>
      <c r="F5" s="10" t="s">
        <v>156</v>
      </c>
      <c r="G5" s="10" t="s">
        <v>157</v>
      </c>
      <c r="H5" s="10" t="s">
        <v>85</v>
      </c>
    </row>
    <row r="6" spans="1:8" ht="34.5" customHeight="1" x14ac:dyDescent="0.2">
      <c r="B6" s="22" t="s">
        <v>158</v>
      </c>
      <c r="C6" s="22" t="s">
        <v>75</v>
      </c>
      <c r="D6" s="22" t="s">
        <v>159</v>
      </c>
      <c r="E6" s="22">
        <v>140</v>
      </c>
      <c r="F6" s="22">
        <v>55</v>
      </c>
      <c r="G6" s="22" t="s">
        <v>160</v>
      </c>
      <c r="H6" s="22" t="s">
        <v>161</v>
      </c>
    </row>
    <row r="7" spans="1:8" ht="15" customHeight="1" x14ac:dyDescent="0.2">
      <c r="B7" s="23" t="s">
        <v>162</v>
      </c>
      <c r="C7" s="23" t="s">
        <v>75</v>
      </c>
      <c r="D7" s="23" t="s">
        <v>163</v>
      </c>
      <c r="E7" s="23">
        <v>95</v>
      </c>
      <c r="F7" s="23">
        <v>40</v>
      </c>
      <c r="G7" s="23" t="s">
        <v>164</v>
      </c>
      <c r="H7" s="23" t="s">
        <v>165</v>
      </c>
    </row>
    <row r="8" spans="1:8" ht="15" customHeight="1" x14ac:dyDescent="0.2">
      <c r="B8" s="23" t="s">
        <v>166</v>
      </c>
      <c r="C8" s="23" t="s">
        <v>75</v>
      </c>
      <c r="D8" s="23" t="s">
        <v>159</v>
      </c>
      <c r="E8" s="23">
        <v>60</v>
      </c>
      <c r="F8" s="23">
        <v>22</v>
      </c>
      <c r="G8" s="23" t="s">
        <v>167</v>
      </c>
      <c r="H8" s="23" t="s">
        <v>168</v>
      </c>
    </row>
    <row r="9" spans="1:8" ht="15" customHeight="1" x14ac:dyDescent="0.2">
      <c r="B9" s="23" t="s">
        <v>169</v>
      </c>
      <c r="C9" s="23" t="s">
        <v>71</v>
      </c>
      <c r="D9" s="23" t="s">
        <v>170</v>
      </c>
      <c r="E9" s="23">
        <v>45</v>
      </c>
      <c r="F9" s="23">
        <v>10</v>
      </c>
      <c r="G9" s="23" t="s">
        <v>171</v>
      </c>
      <c r="H9" s="23" t="s">
        <v>172</v>
      </c>
    </row>
    <row r="10" spans="1:8" ht="15" customHeight="1" x14ac:dyDescent="0.2">
      <c r="B10" s="23"/>
      <c r="C10" s="23"/>
      <c r="D10" s="23"/>
      <c r="E10" s="23"/>
      <c r="F10" s="23"/>
      <c r="G10" s="23"/>
      <c r="H10" s="23"/>
    </row>
    <row r="11" spans="1:8" ht="15" customHeight="1" x14ac:dyDescent="0.2">
      <c r="B11" s="23"/>
      <c r="C11" s="23"/>
      <c r="D11" s="23"/>
      <c r="E11" s="23"/>
      <c r="F11" s="23"/>
      <c r="G11" s="23"/>
      <c r="H11" s="23"/>
    </row>
    <row r="12" spans="1:8" ht="15" customHeight="1" x14ac:dyDescent="0.2">
      <c r="B12" s="23"/>
      <c r="C12" s="23"/>
      <c r="D12" s="23"/>
      <c r="E12" s="23"/>
      <c r="F12" s="23"/>
      <c r="G12" s="23"/>
      <c r="H12" s="23"/>
    </row>
    <row r="13" spans="1:8" ht="15" customHeight="1" x14ac:dyDescent="0.2">
      <c r="B13" s="23"/>
      <c r="C13" s="23"/>
      <c r="D13" s="23"/>
      <c r="E13" s="23"/>
      <c r="F13" s="23"/>
      <c r="G13" s="23"/>
      <c r="H13" s="23"/>
    </row>
    <row r="14" spans="1:8" ht="15" customHeight="1" x14ac:dyDescent="0.2">
      <c r="B14" s="23"/>
      <c r="C14" s="23"/>
      <c r="D14" s="23"/>
      <c r="E14" s="23"/>
      <c r="F14" s="23"/>
      <c r="G14" s="23"/>
      <c r="H14" s="23"/>
    </row>
    <row r="15" spans="1:8" ht="15" customHeight="1" x14ac:dyDescent="0.2">
      <c r="B15" s="23"/>
      <c r="C15" s="23"/>
      <c r="D15" s="23"/>
      <c r="E15" s="23"/>
      <c r="F15" s="23"/>
      <c r="G15" s="23"/>
      <c r="H15" s="23"/>
    </row>
    <row r="16" spans="1:8" ht="15" customHeight="1" x14ac:dyDescent="0.2">
      <c r="B16" s="23"/>
      <c r="C16" s="23"/>
      <c r="D16" s="23"/>
      <c r="E16" s="23"/>
      <c r="F16" s="23"/>
      <c r="G16" s="23"/>
      <c r="H16" s="23"/>
    </row>
    <row r="17" spans="2:8" ht="15" customHeight="1" x14ac:dyDescent="0.2">
      <c r="B17" s="23"/>
      <c r="C17" s="23"/>
      <c r="D17" s="23"/>
      <c r="E17" s="23"/>
      <c r="F17" s="23"/>
      <c r="G17" s="23"/>
      <c r="H17" s="23"/>
    </row>
    <row r="18" spans="2:8" ht="15" customHeight="1" x14ac:dyDescent="0.2">
      <c r="B18" s="23"/>
      <c r="C18" s="23"/>
      <c r="D18" s="23"/>
      <c r="E18" s="23"/>
      <c r="F18" s="23"/>
      <c r="G18" s="23"/>
      <c r="H18" s="23"/>
    </row>
    <row r="19" spans="2:8" ht="15" customHeight="1" x14ac:dyDescent="0.2">
      <c r="B19" s="23"/>
      <c r="C19" s="23"/>
      <c r="D19" s="23"/>
      <c r="E19" s="23"/>
      <c r="F19" s="23"/>
      <c r="G19" s="23"/>
      <c r="H19" s="23"/>
    </row>
    <row r="20" spans="2:8" ht="15" customHeight="1" x14ac:dyDescent="0.2">
      <c r="B20" s="23"/>
      <c r="C20" s="23"/>
      <c r="D20" s="23"/>
      <c r="E20" s="23"/>
      <c r="F20" s="23"/>
      <c r="G20" s="23"/>
      <c r="H20" s="23"/>
    </row>
    <row r="21" spans="2:8" ht="15" customHeight="1" x14ac:dyDescent="0.2">
      <c r="B21" s="23"/>
      <c r="C21" s="23"/>
      <c r="D21" s="23"/>
      <c r="E21" s="23"/>
      <c r="F21" s="23"/>
      <c r="G21" s="23"/>
      <c r="H21" s="23"/>
    </row>
    <row r="22" spans="2:8" ht="15" customHeight="1" x14ac:dyDescent="0.2">
      <c r="B22" s="23"/>
      <c r="C22" s="23"/>
      <c r="D22" s="23"/>
      <c r="E22" s="23"/>
      <c r="F22" s="23"/>
      <c r="G22" s="23"/>
      <c r="H22" s="23"/>
    </row>
    <row r="23" spans="2:8" ht="15" customHeight="1" x14ac:dyDescent="0.2">
      <c r="B23" s="23"/>
      <c r="C23" s="23"/>
      <c r="D23" s="23"/>
      <c r="E23" s="23"/>
      <c r="F23" s="23"/>
      <c r="G23" s="23"/>
      <c r="H23" s="23"/>
    </row>
    <row r="24" spans="2:8" ht="15" customHeight="1" x14ac:dyDescent="0.2">
      <c r="B24" s="23"/>
      <c r="C24" s="23"/>
      <c r="D24" s="23"/>
      <c r="E24" s="23"/>
      <c r="F24" s="23"/>
      <c r="G24" s="23"/>
      <c r="H24" s="23"/>
    </row>
    <row r="25" spans="2:8" ht="15" customHeight="1" x14ac:dyDescent="0.2">
      <c r="B25" s="23"/>
      <c r="C25" s="23"/>
      <c r="D25" s="23"/>
      <c r="E25" s="23"/>
      <c r="F25" s="23"/>
      <c r="G25" s="23"/>
      <c r="H25" s="23"/>
    </row>
    <row r="26" spans="2:8" ht="15" customHeight="1" x14ac:dyDescent="0.2">
      <c r="B26" s="23"/>
      <c r="C26" s="23"/>
      <c r="D26" s="23"/>
      <c r="E26" s="23"/>
      <c r="F26" s="23"/>
      <c r="G26" s="23"/>
      <c r="H26" s="23"/>
    </row>
    <row r="28" spans="2:8" ht="15" customHeight="1" x14ac:dyDescent="0.2">
      <c r="B28" s="18" t="s">
        <v>173</v>
      </c>
      <c r="C28" s="18">
        <f>COUNTA(B6:B26)</f>
        <v>4</v>
      </c>
    </row>
    <row r="29" spans="2:8" ht="15" customHeight="1" x14ac:dyDescent="0.2">
      <c r="B29" s="18" t="s">
        <v>174</v>
      </c>
      <c r="C29" s="18">
        <f>COUNTIF(D6:D26,"Formalized")+COUNTIF(D6:D26,"Remediated")</f>
        <v>0</v>
      </c>
    </row>
    <row r="30" spans="2:8" ht="15" customHeight="1" x14ac:dyDescent="0.2">
      <c r="B30" s="18" t="s">
        <v>175</v>
      </c>
      <c r="C30" s="18">
        <f>SUM(E6:E26)</f>
        <v>340</v>
      </c>
    </row>
    <row r="31" spans="2:8" ht="15" customHeight="1" x14ac:dyDescent="0.2">
      <c r="B31" s="18" t="s">
        <v>176</v>
      </c>
      <c r="C31" s="18">
        <f>SUM(F6:F26)</f>
        <v>127</v>
      </c>
    </row>
  </sheetData>
  <mergeCells count="2">
    <mergeCell ref="A2:G2"/>
    <mergeCell ref="B3:H3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3" style="9" customWidth="1"/>
    <col min="2" max="2" width="55.01953125" style="9" customWidth="1"/>
    <col min="3" max="3" width="53" style="9" customWidth="1"/>
    <col min="4" max="4" width="16.94921875" style="9" customWidth="1"/>
    <col min="5" max="5" width="11.97265625" style="9" customWidth="1"/>
    <col min="6" max="6" width="43.98828125" style="9" customWidth="1"/>
    <col min="7" max="7" width="29.0546875" style="9" customWidth="1"/>
    <col min="8" max="8" width="23.9453125" style="9" customWidth="1"/>
    <col min="9" max="9" width="55.01953125" style="9" customWidth="1"/>
  </cols>
  <sheetData>
    <row r="2" spans="1:9" ht="25.5" customHeight="1" x14ac:dyDescent="0.2">
      <c r="A2" s="8" t="s">
        <v>177</v>
      </c>
      <c r="B2" s="8"/>
      <c r="C2" s="8"/>
      <c r="D2" s="8"/>
      <c r="E2" s="8"/>
      <c r="F2" s="8"/>
      <c r="G2" s="8"/>
      <c r="H2" s="8"/>
    </row>
    <row r="3" spans="1:9" ht="15" customHeight="1" x14ac:dyDescent="0.2">
      <c r="B3" s="7" t="s">
        <v>178</v>
      </c>
      <c r="C3" s="7"/>
      <c r="D3" s="7"/>
      <c r="E3" s="7"/>
      <c r="F3" s="7"/>
      <c r="G3" s="7"/>
      <c r="H3" s="7"/>
      <c r="I3" s="7"/>
    </row>
    <row r="5" spans="1:9" ht="31.5" customHeight="1" x14ac:dyDescent="0.2">
      <c r="B5" s="10" t="s">
        <v>179</v>
      </c>
      <c r="C5" s="10" t="s">
        <v>46</v>
      </c>
      <c r="D5" s="10" t="s">
        <v>180</v>
      </c>
      <c r="E5" s="10" t="s">
        <v>181</v>
      </c>
      <c r="F5" s="10" t="s">
        <v>182</v>
      </c>
      <c r="G5" s="10" t="s">
        <v>183</v>
      </c>
      <c r="H5" s="10" t="s">
        <v>184</v>
      </c>
      <c r="I5" s="10" t="s">
        <v>85</v>
      </c>
    </row>
    <row r="6" spans="1:9" ht="23.25" customHeight="1" x14ac:dyDescent="0.2">
      <c r="B6" s="22" t="s">
        <v>185</v>
      </c>
      <c r="C6" s="22" t="s">
        <v>75</v>
      </c>
      <c r="D6" s="22" t="s">
        <v>186</v>
      </c>
      <c r="E6" s="22" t="s">
        <v>187</v>
      </c>
      <c r="F6" s="22" t="s">
        <v>188</v>
      </c>
      <c r="G6" s="22" t="s">
        <v>128</v>
      </c>
      <c r="H6" s="22">
        <v>180</v>
      </c>
      <c r="I6" s="22" t="s">
        <v>189</v>
      </c>
    </row>
    <row r="7" spans="1:9" ht="15" customHeight="1" x14ac:dyDescent="0.2">
      <c r="B7" s="23" t="s">
        <v>190</v>
      </c>
      <c r="C7" s="23" t="s">
        <v>75</v>
      </c>
      <c r="D7" s="23" t="s">
        <v>191</v>
      </c>
      <c r="E7" s="23" t="s">
        <v>192</v>
      </c>
      <c r="F7" s="23" t="s">
        <v>193</v>
      </c>
      <c r="G7" s="23" t="s">
        <v>129</v>
      </c>
      <c r="H7" s="23">
        <v>0</v>
      </c>
      <c r="I7" s="23" t="s">
        <v>194</v>
      </c>
    </row>
    <row r="8" spans="1:9" ht="15" customHeight="1" x14ac:dyDescent="0.2">
      <c r="B8" s="23" t="s">
        <v>166</v>
      </c>
      <c r="C8" s="23" t="s">
        <v>75</v>
      </c>
      <c r="D8" s="23" t="s">
        <v>195</v>
      </c>
      <c r="E8" s="23" t="s">
        <v>196</v>
      </c>
      <c r="F8" s="23" t="s">
        <v>197</v>
      </c>
      <c r="G8" s="23" t="s">
        <v>128</v>
      </c>
      <c r="H8" s="23">
        <v>95</v>
      </c>
      <c r="I8" s="23" t="s">
        <v>198</v>
      </c>
    </row>
    <row r="9" spans="1:9" ht="15" customHeight="1" x14ac:dyDescent="0.2">
      <c r="B9" s="23" t="s">
        <v>199</v>
      </c>
      <c r="C9" s="23" t="s">
        <v>71</v>
      </c>
      <c r="D9" s="23" t="s">
        <v>186</v>
      </c>
      <c r="E9" s="23" t="s">
        <v>200</v>
      </c>
      <c r="F9" s="23" t="s">
        <v>193</v>
      </c>
      <c r="G9" s="23" t="s">
        <v>128</v>
      </c>
      <c r="H9" s="23">
        <v>60</v>
      </c>
      <c r="I9" s="23" t="s">
        <v>201</v>
      </c>
    </row>
    <row r="10" spans="1:9" ht="15" customHeight="1" x14ac:dyDescent="0.2">
      <c r="B10" s="23"/>
      <c r="C10" s="23"/>
      <c r="D10" s="23"/>
      <c r="E10" s="23"/>
      <c r="F10" s="23"/>
      <c r="G10" s="23"/>
      <c r="H10" s="23"/>
      <c r="I10" s="23"/>
    </row>
    <row r="11" spans="1:9" ht="15" customHeight="1" x14ac:dyDescent="0.2">
      <c r="B11" s="23"/>
      <c r="C11" s="23"/>
      <c r="D11" s="23"/>
      <c r="E11" s="23"/>
      <c r="F11" s="23"/>
      <c r="G11" s="23"/>
      <c r="H11" s="23"/>
      <c r="I11" s="23"/>
    </row>
    <row r="12" spans="1:9" ht="15" customHeight="1" x14ac:dyDescent="0.2">
      <c r="B12" s="23"/>
      <c r="C12" s="23"/>
      <c r="D12" s="23"/>
      <c r="E12" s="23"/>
      <c r="F12" s="23"/>
      <c r="G12" s="23"/>
      <c r="H12" s="23"/>
      <c r="I12" s="23"/>
    </row>
    <row r="13" spans="1:9" ht="15" customHeight="1" x14ac:dyDescent="0.2">
      <c r="B13" s="23"/>
      <c r="C13" s="23"/>
      <c r="D13" s="23"/>
      <c r="E13" s="23"/>
      <c r="F13" s="23"/>
      <c r="G13" s="23"/>
      <c r="H13" s="23"/>
      <c r="I13" s="23"/>
    </row>
    <row r="14" spans="1:9" ht="15" customHeight="1" x14ac:dyDescent="0.2">
      <c r="B14" s="23"/>
      <c r="C14" s="23"/>
      <c r="D14" s="23"/>
      <c r="E14" s="23"/>
      <c r="F14" s="23"/>
      <c r="G14" s="23"/>
      <c r="H14" s="23"/>
      <c r="I14" s="23"/>
    </row>
    <row r="15" spans="1:9" ht="15" customHeight="1" x14ac:dyDescent="0.2">
      <c r="B15" s="23"/>
      <c r="C15" s="23"/>
      <c r="D15" s="23"/>
      <c r="E15" s="23"/>
      <c r="F15" s="23"/>
      <c r="G15" s="23"/>
      <c r="H15" s="23"/>
      <c r="I15" s="23"/>
    </row>
    <row r="16" spans="1:9" ht="15" customHeight="1" x14ac:dyDescent="0.2">
      <c r="B16" s="23"/>
      <c r="C16" s="23"/>
      <c r="D16" s="23"/>
      <c r="E16" s="23"/>
      <c r="F16" s="23"/>
      <c r="G16" s="23"/>
      <c r="H16" s="23"/>
      <c r="I16" s="23"/>
    </row>
    <row r="17" spans="2:9" ht="15" customHeight="1" x14ac:dyDescent="0.2">
      <c r="B17" s="23"/>
      <c r="C17" s="23"/>
      <c r="D17" s="23"/>
      <c r="E17" s="23"/>
      <c r="F17" s="23"/>
      <c r="G17" s="23"/>
      <c r="H17" s="23"/>
      <c r="I17" s="23"/>
    </row>
    <row r="18" spans="2:9" ht="15" customHeight="1" x14ac:dyDescent="0.2">
      <c r="B18" s="23"/>
      <c r="C18" s="23"/>
      <c r="D18" s="23"/>
      <c r="E18" s="23"/>
      <c r="F18" s="23"/>
      <c r="G18" s="23"/>
      <c r="H18" s="23"/>
      <c r="I18" s="23"/>
    </row>
    <row r="19" spans="2:9" ht="15" customHeight="1" x14ac:dyDescent="0.2">
      <c r="B19" s="23"/>
      <c r="C19" s="23"/>
      <c r="D19" s="23"/>
      <c r="E19" s="23"/>
      <c r="F19" s="23"/>
      <c r="G19" s="23"/>
      <c r="H19" s="23"/>
      <c r="I19" s="23"/>
    </row>
    <row r="20" spans="2:9" ht="15" customHeight="1" x14ac:dyDescent="0.2">
      <c r="B20" s="23"/>
      <c r="C20" s="23"/>
      <c r="D20" s="23"/>
      <c r="E20" s="23"/>
      <c r="F20" s="23"/>
      <c r="G20" s="23"/>
      <c r="H20" s="23"/>
      <c r="I20" s="23"/>
    </row>
    <row r="21" spans="2:9" ht="15" customHeight="1" x14ac:dyDescent="0.2">
      <c r="B21" s="23"/>
      <c r="C21" s="23"/>
      <c r="D21" s="23"/>
      <c r="E21" s="23"/>
      <c r="F21" s="23"/>
      <c r="G21" s="23"/>
      <c r="H21" s="23"/>
      <c r="I21" s="23"/>
    </row>
    <row r="22" spans="2:9" ht="15" customHeight="1" x14ac:dyDescent="0.2">
      <c r="B22" s="23"/>
      <c r="C22" s="23"/>
      <c r="D22" s="23"/>
      <c r="E22" s="23"/>
      <c r="F22" s="23"/>
      <c r="G22" s="23"/>
      <c r="H22" s="23"/>
      <c r="I22" s="23"/>
    </row>
    <row r="23" spans="2:9" ht="15" customHeight="1" x14ac:dyDescent="0.2">
      <c r="B23" s="23"/>
      <c r="C23" s="23"/>
      <c r="D23" s="23"/>
      <c r="E23" s="23"/>
      <c r="F23" s="23"/>
      <c r="G23" s="23"/>
      <c r="H23" s="23"/>
      <c r="I23" s="23"/>
    </row>
    <row r="24" spans="2:9" ht="15" customHeight="1" x14ac:dyDescent="0.2">
      <c r="B24" s="23"/>
      <c r="C24" s="23"/>
      <c r="D24" s="23"/>
      <c r="E24" s="23"/>
      <c r="F24" s="23"/>
      <c r="G24" s="23"/>
      <c r="H24" s="23"/>
      <c r="I24" s="23"/>
    </row>
    <row r="25" spans="2:9" ht="15" customHeight="1" x14ac:dyDescent="0.2">
      <c r="B25" s="23"/>
      <c r="C25" s="23"/>
      <c r="D25" s="23"/>
      <c r="E25" s="23"/>
      <c r="F25" s="23"/>
      <c r="G25" s="23"/>
      <c r="H25" s="23"/>
      <c r="I25" s="23"/>
    </row>
    <row r="26" spans="2:9" ht="15" customHeight="1" x14ac:dyDescent="0.2">
      <c r="B26" s="23"/>
      <c r="C26" s="23"/>
      <c r="D26" s="23"/>
      <c r="E26" s="23"/>
      <c r="F26" s="23"/>
      <c r="G26" s="23"/>
      <c r="H26" s="23"/>
      <c r="I26" s="23"/>
    </row>
    <row r="28" spans="2:9" ht="15" customHeight="1" x14ac:dyDescent="0.2">
      <c r="B28" s="18" t="s">
        <v>202</v>
      </c>
      <c r="C28" s="18">
        <f>SUMPRODUCT((B6:B26&lt;&gt;"")/COUNTIF(B6:B26,B6:B26&amp;""))</f>
        <v>4</v>
      </c>
    </row>
    <row r="29" spans="2:9" ht="15" customHeight="1" x14ac:dyDescent="0.2">
      <c r="B29" s="18" t="s">
        <v>203</v>
      </c>
      <c r="C29" s="18">
        <f>COUNTIF(F6:F26,"Yes")</f>
        <v>0</v>
      </c>
    </row>
    <row r="30" spans="2:9" ht="15" customHeight="1" x14ac:dyDescent="0.2">
      <c r="B30" s="18" t="s">
        <v>204</v>
      </c>
      <c r="C30" s="18">
        <f>SUM(G6:G26)</f>
        <v>0</v>
      </c>
    </row>
  </sheetData>
  <mergeCells count="2">
    <mergeCell ref="A2:H2"/>
    <mergeCell ref="B3:I3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0.04296875" style="9" customWidth="1"/>
    <col min="2" max="4" width="55.01953125" style="9" customWidth="1"/>
    <col min="5" max="6" width="34.97265625" style="9" customWidth="1"/>
    <col min="7" max="7" width="22.05859375" style="9" customWidth="1"/>
  </cols>
  <sheetData>
    <row r="2" spans="1:7" ht="25.5" customHeight="1" x14ac:dyDescent="0.2">
      <c r="A2" s="8" t="s">
        <v>205</v>
      </c>
      <c r="B2" s="8"/>
      <c r="C2" s="8"/>
      <c r="D2" s="8"/>
      <c r="E2" s="8"/>
      <c r="F2" s="8"/>
    </row>
    <row r="3" spans="1:7" ht="15" customHeight="1" x14ac:dyDescent="0.2">
      <c r="B3" s="7" t="s">
        <v>206</v>
      </c>
      <c r="C3" s="7"/>
      <c r="D3" s="7"/>
      <c r="E3" s="7"/>
      <c r="F3" s="7"/>
      <c r="G3" s="7"/>
    </row>
    <row r="5" spans="1:7" ht="31.5" customHeight="1" x14ac:dyDescent="0.2">
      <c r="B5" s="10" t="s">
        <v>207</v>
      </c>
      <c r="C5" s="10" t="s">
        <v>46</v>
      </c>
      <c r="D5" s="10" t="s">
        <v>181</v>
      </c>
      <c r="E5" s="10" t="s">
        <v>208</v>
      </c>
      <c r="F5" s="10" t="s">
        <v>209</v>
      </c>
      <c r="G5" s="10" t="s">
        <v>210</v>
      </c>
    </row>
    <row r="6" spans="1:7" ht="15" customHeight="1" x14ac:dyDescent="0.2">
      <c r="B6" s="22" t="s">
        <v>211</v>
      </c>
      <c r="C6" s="22" t="s">
        <v>71</v>
      </c>
      <c r="D6" s="22" t="s">
        <v>212</v>
      </c>
      <c r="E6" s="22" t="s">
        <v>213</v>
      </c>
      <c r="F6" s="22" t="s">
        <v>214</v>
      </c>
      <c r="G6" s="22">
        <v>2200</v>
      </c>
    </row>
    <row r="7" spans="1:7" ht="15" customHeight="1" x14ac:dyDescent="0.2">
      <c r="B7" s="23" t="s">
        <v>215</v>
      </c>
      <c r="C7" s="23" t="s">
        <v>75</v>
      </c>
      <c r="D7" s="23" t="s">
        <v>216</v>
      </c>
      <c r="E7" s="23" t="s">
        <v>217</v>
      </c>
      <c r="F7" s="23" t="s">
        <v>218</v>
      </c>
      <c r="G7" s="23">
        <v>140</v>
      </c>
    </row>
    <row r="8" spans="1:7" ht="15" customHeight="1" x14ac:dyDescent="0.2">
      <c r="B8" s="23" t="s">
        <v>219</v>
      </c>
      <c r="C8" s="23" t="s">
        <v>75</v>
      </c>
      <c r="D8" s="23" t="s">
        <v>220</v>
      </c>
      <c r="E8" s="23" t="s">
        <v>221</v>
      </c>
      <c r="F8" s="23" t="s">
        <v>222</v>
      </c>
      <c r="G8" s="23">
        <v>85</v>
      </c>
    </row>
    <row r="9" spans="1:7" ht="15" customHeight="1" x14ac:dyDescent="0.2">
      <c r="B9" s="23" t="s">
        <v>223</v>
      </c>
      <c r="C9" s="23" t="s">
        <v>71</v>
      </c>
      <c r="D9" s="23" t="s">
        <v>74</v>
      </c>
      <c r="E9" s="23" t="s">
        <v>224</v>
      </c>
      <c r="F9" s="23" t="s">
        <v>225</v>
      </c>
      <c r="G9" s="23">
        <v>650</v>
      </c>
    </row>
    <row r="10" spans="1:7" ht="15" customHeight="1" x14ac:dyDescent="0.2">
      <c r="B10" s="23" t="s">
        <v>226</v>
      </c>
      <c r="C10" s="23" t="s">
        <v>66</v>
      </c>
      <c r="D10" s="23" t="s">
        <v>227</v>
      </c>
      <c r="E10" s="23" t="s">
        <v>228</v>
      </c>
      <c r="F10" s="23" t="s">
        <v>229</v>
      </c>
      <c r="G10" s="23">
        <v>400</v>
      </c>
    </row>
    <row r="11" spans="1:7" ht="15" customHeight="1" x14ac:dyDescent="0.2">
      <c r="B11" s="23"/>
      <c r="C11" s="23"/>
      <c r="D11" s="23"/>
      <c r="E11" s="23"/>
      <c r="F11" s="23"/>
      <c r="G11" s="23"/>
    </row>
    <row r="12" spans="1:7" ht="15" customHeight="1" x14ac:dyDescent="0.2">
      <c r="B12" s="23"/>
      <c r="C12" s="23"/>
      <c r="D12" s="23"/>
      <c r="E12" s="23"/>
      <c r="F12" s="23"/>
      <c r="G12" s="23"/>
    </row>
    <row r="13" spans="1:7" ht="15" customHeight="1" x14ac:dyDescent="0.2">
      <c r="B13" s="23"/>
      <c r="C13" s="23"/>
      <c r="D13" s="23"/>
      <c r="E13" s="23"/>
      <c r="F13" s="23"/>
      <c r="G13" s="23"/>
    </row>
    <row r="14" spans="1:7" ht="15" customHeight="1" x14ac:dyDescent="0.2">
      <c r="B14" s="23"/>
      <c r="C14" s="23"/>
      <c r="D14" s="23"/>
      <c r="E14" s="23"/>
      <c r="F14" s="23"/>
      <c r="G14" s="23"/>
    </row>
    <row r="15" spans="1:7" ht="15" customHeight="1" x14ac:dyDescent="0.2">
      <c r="B15" s="23"/>
      <c r="C15" s="23"/>
      <c r="D15" s="23"/>
      <c r="E15" s="23"/>
      <c r="F15" s="23"/>
      <c r="G15" s="23"/>
    </row>
    <row r="16" spans="1:7" ht="15" customHeight="1" x14ac:dyDescent="0.2">
      <c r="B16" s="23"/>
      <c r="C16" s="23"/>
      <c r="D16" s="23"/>
      <c r="E16" s="23"/>
      <c r="F16" s="23"/>
      <c r="G16" s="23"/>
    </row>
    <row r="17" spans="2:7" ht="15" customHeight="1" x14ac:dyDescent="0.2">
      <c r="B17" s="23"/>
      <c r="C17" s="23"/>
      <c r="D17" s="23"/>
      <c r="E17" s="23"/>
      <c r="F17" s="23"/>
      <c r="G17" s="23"/>
    </row>
    <row r="18" spans="2:7" ht="15" customHeight="1" x14ac:dyDescent="0.2">
      <c r="B18" s="23"/>
      <c r="C18" s="23"/>
      <c r="D18" s="23"/>
      <c r="E18" s="23"/>
      <c r="F18" s="23"/>
      <c r="G18" s="23"/>
    </row>
    <row r="19" spans="2:7" ht="15" customHeight="1" x14ac:dyDescent="0.2">
      <c r="B19" s="23"/>
      <c r="C19" s="23"/>
      <c r="D19" s="23"/>
      <c r="E19" s="23"/>
      <c r="F19" s="23"/>
      <c r="G19" s="23"/>
    </row>
    <row r="20" spans="2:7" ht="15" customHeight="1" x14ac:dyDescent="0.2">
      <c r="B20" s="23"/>
      <c r="C20" s="23"/>
      <c r="D20" s="23"/>
      <c r="E20" s="23"/>
      <c r="F20" s="23"/>
      <c r="G20" s="23"/>
    </row>
    <row r="21" spans="2:7" ht="15" customHeight="1" x14ac:dyDescent="0.2">
      <c r="B21" s="23"/>
      <c r="C21" s="23"/>
      <c r="D21" s="23"/>
      <c r="E21" s="23"/>
      <c r="F21" s="23"/>
      <c r="G21" s="23"/>
    </row>
    <row r="22" spans="2:7" ht="15" customHeight="1" x14ac:dyDescent="0.2">
      <c r="B22" s="23"/>
      <c r="C22" s="23"/>
      <c r="D22" s="23"/>
      <c r="E22" s="23"/>
      <c r="F22" s="23"/>
      <c r="G22" s="23"/>
    </row>
    <row r="23" spans="2:7" ht="15" customHeight="1" x14ac:dyDescent="0.2">
      <c r="B23" s="23"/>
      <c r="C23" s="23"/>
      <c r="D23" s="23"/>
      <c r="E23" s="23"/>
      <c r="F23" s="23"/>
      <c r="G23" s="23"/>
    </row>
    <row r="24" spans="2:7" ht="15" customHeight="1" x14ac:dyDescent="0.2">
      <c r="B24" s="23"/>
      <c r="C24" s="23"/>
      <c r="D24" s="23"/>
      <c r="E24" s="23"/>
      <c r="F24" s="23"/>
      <c r="G24" s="23"/>
    </row>
    <row r="25" spans="2:7" ht="15" customHeight="1" x14ac:dyDescent="0.2">
      <c r="B25" s="23"/>
      <c r="C25" s="23"/>
      <c r="D25" s="23"/>
      <c r="E25" s="23"/>
      <c r="F25" s="23"/>
      <c r="G25" s="23"/>
    </row>
    <row r="26" spans="2:7" ht="15" customHeight="1" x14ac:dyDescent="0.2">
      <c r="B26" s="23"/>
      <c r="C26" s="23"/>
      <c r="D26" s="23"/>
      <c r="E26" s="23"/>
      <c r="F26" s="23"/>
      <c r="G26" s="23"/>
    </row>
    <row r="28" spans="2:7" ht="15" customHeight="1" x14ac:dyDescent="0.2">
      <c r="B28" s="18" t="s">
        <v>230</v>
      </c>
      <c r="C28" s="18">
        <f>COUNTA(B6:B26)</f>
        <v>5</v>
      </c>
    </row>
    <row r="29" spans="2:7" ht="15" customHeight="1" x14ac:dyDescent="0.2">
      <c r="B29" s="18" t="s">
        <v>231</v>
      </c>
      <c r="C29" s="18">
        <f>COUNTIF(D6:D26,"School Collection Drive")+COUNTIF(D6:D26,"RWA/Community Drive")</f>
        <v>0</v>
      </c>
    </row>
    <row r="30" spans="2:7" ht="15" customHeight="1" x14ac:dyDescent="0.2">
      <c r="B30" s="18" t="s">
        <v>232</v>
      </c>
      <c r="C30" s="18">
        <f>SUM(F6:F26)</f>
        <v>0</v>
      </c>
    </row>
  </sheetData>
  <mergeCells count="2">
    <mergeCell ref="A2:F2"/>
    <mergeCell ref="B3:G3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FCCB6EB3-AE29-41AE-AA1D-8974DDAF8F3A}"/>
</file>

<file path=customXml/itemProps2.xml><?xml version="1.0" encoding="utf-8"?>
<ds:datastoreItem xmlns:ds="http://schemas.openxmlformats.org/officeDocument/2006/customXml" ds:itemID="{E453B81D-072B-4654-8C64-9C879C66B68D}"/>
</file>

<file path=customXml/itemProps3.xml><?xml version="1.0" encoding="utf-8"?>
<ds:datastoreItem xmlns:ds="http://schemas.openxmlformats.org/officeDocument/2006/customXml" ds:itemID="{661166CE-AA7D-4BF5-9816-43E6DB2DB8D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2026-07-16T04:20:02Z</dcterms:created>
  <dcterms:modified xsi:type="dcterms:W3CDTF">2026-07-23T15:22:41Z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